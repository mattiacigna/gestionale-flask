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Ivan-PC\Desktop\ERAMNESIA\GESTIONALE OFFICINA\"/>
    </mc:Choice>
  </mc:AlternateContent>
  <xr:revisionPtr revIDLastSave="0" documentId="13_ncr:1_{26B2B5D4-4770-452B-82F5-F1A88090924C}" xr6:coauthVersionLast="47" xr6:coauthVersionMax="47" xr10:uidLastSave="{00000000-0000-0000-0000-000000000000}"/>
  <bookViews>
    <workbookView xWindow="-28920" yWindow="-120" windowWidth="29040" windowHeight="15840" tabRatio="724" xr2:uid="{00000000-000D-0000-FFFF-FFFF00000000}"/>
  </bookViews>
  <sheets>
    <sheet name="SCANSIONE" sheetId="1" r:id="rId1"/>
    <sheet name="DB_Codici" sheetId="2" r:id="rId2"/>
    <sheet name="DISTINTA OPERATORE" sheetId="30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6" i="1" l="1"/>
  <c r="I87" i="1"/>
  <c r="I88" i="1"/>
  <c r="I89" i="1"/>
  <c r="I90" i="1"/>
  <c r="I91" i="1"/>
  <c r="I80" i="1"/>
  <c r="I81" i="1"/>
  <c r="I82" i="1"/>
  <c r="I83" i="1"/>
  <c r="I84" i="1"/>
  <c r="I85" i="1"/>
  <c r="K11" i="1"/>
  <c r="I11" i="1"/>
  <c r="E11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K66" i="1"/>
  <c r="K65" i="1"/>
  <c r="K64" i="1"/>
  <c r="K63" i="1"/>
  <c r="I59" i="1"/>
  <c r="I60" i="1"/>
  <c r="I61" i="1"/>
  <c r="I62" i="1"/>
  <c r="K62" i="1"/>
  <c r="K61" i="1"/>
  <c r="K60" i="1"/>
  <c r="K59" i="1"/>
  <c r="K58" i="1"/>
  <c r="I58" i="1"/>
  <c r="K50" i="1"/>
  <c r="K51" i="1"/>
  <c r="K52" i="1"/>
  <c r="K53" i="1"/>
  <c r="K54" i="1"/>
  <c r="K55" i="1"/>
  <c r="K56" i="1"/>
  <c r="K57" i="1"/>
  <c r="I50" i="1"/>
  <c r="I51" i="1"/>
  <c r="I52" i="1"/>
  <c r="I53" i="1"/>
  <c r="I54" i="1"/>
  <c r="I55" i="1"/>
  <c r="I56" i="1"/>
  <c r="I57" i="1"/>
  <c r="K49" i="1"/>
  <c r="I49" i="1"/>
  <c r="K48" i="1"/>
  <c r="I48" i="1"/>
  <c r="K47" i="1"/>
  <c r="I47" i="1"/>
  <c r="K46" i="1"/>
  <c r="I46" i="1"/>
  <c r="K45" i="1"/>
  <c r="I45" i="1"/>
  <c r="K43" i="1"/>
  <c r="K44" i="1"/>
  <c r="I44" i="1"/>
  <c r="I43" i="1"/>
  <c r="E42" i="1"/>
  <c r="K42" i="1"/>
  <c r="E41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18" i="1"/>
  <c r="E35" i="1"/>
  <c r="E36" i="1"/>
  <c r="E37" i="1"/>
  <c r="E38" i="1"/>
  <c r="E39" i="1"/>
  <c r="E40" i="1"/>
  <c r="E34" i="1"/>
  <c r="I42" i="1"/>
  <c r="K41" i="1"/>
  <c r="I41" i="1"/>
  <c r="K40" i="1"/>
  <c r="I40" i="1"/>
  <c r="K39" i="1"/>
  <c r="I39" i="1"/>
  <c r="K38" i="1"/>
  <c r="I38" i="1"/>
  <c r="I37" i="1"/>
  <c r="K36" i="1"/>
  <c r="K37" i="1"/>
  <c r="I36" i="1"/>
  <c r="K35" i="1"/>
  <c r="K28" i="1"/>
  <c r="K29" i="1"/>
  <c r="K30" i="1"/>
  <c r="K31" i="1"/>
  <c r="K32" i="1"/>
  <c r="K33" i="1"/>
  <c r="K34" i="1"/>
  <c r="I35" i="1"/>
  <c r="I34" i="1"/>
  <c r="I3" i="1"/>
  <c r="I4" i="1"/>
  <c r="I5" i="1"/>
  <c r="I6" i="1"/>
  <c r="I7" i="1"/>
  <c r="I8" i="1"/>
  <c r="I9" i="1"/>
  <c r="I10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K27" i="1"/>
  <c r="K26" i="1"/>
  <c r="K25" i="1"/>
  <c r="K24" i="1"/>
  <c r="K18" i="1"/>
  <c r="K19" i="1"/>
  <c r="K20" i="1"/>
  <c r="K21" i="1"/>
  <c r="K22" i="1"/>
  <c r="K23" i="1"/>
  <c r="E15" i="1"/>
  <c r="E13" i="1"/>
  <c r="K3" i="1"/>
  <c r="K4" i="1"/>
  <c r="K5" i="1"/>
  <c r="K6" i="1"/>
  <c r="K7" i="1"/>
  <c r="K8" i="1"/>
  <c r="K9" i="1"/>
  <c r="K10" i="1"/>
  <c r="K12" i="1"/>
  <c r="K13" i="1"/>
  <c r="K14" i="1"/>
  <c r="K15" i="1"/>
  <c r="K16" i="1"/>
  <c r="K17" i="1"/>
  <c r="K2" i="1"/>
  <c r="E3" i="1"/>
  <c r="E4" i="1"/>
  <c r="E5" i="1"/>
  <c r="E6" i="1"/>
  <c r="E7" i="1"/>
  <c r="E8" i="1"/>
  <c r="E9" i="1"/>
  <c r="E10" i="1"/>
  <c r="E12" i="1"/>
  <c r="E14" i="1"/>
  <c r="E16" i="1"/>
  <c r="E17" i="1"/>
  <c r="E2" i="1"/>
  <c r="I2" i="1"/>
</calcChain>
</file>

<file path=xl/sharedStrings.xml><?xml version="1.0" encoding="utf-8"?>
<sst xmlns="http://schemas.openxmlformats.org/spreadsheetml/2006/main" count="1012" uniqueCount="319">
  <si>
    <t>Cliente</t>
  </si>
  <si>
    <t>Nome Disegno</t>
  </si>
  <si>
    <t>Codice a Barre</t>
  </si>
  <si>
    <t>Quantità Disponibile</t>
  </si>
  <si>
    <t>Peso kg</t>
  </si>
  <si>
    <t>Lunghezza mm</t>
  </si>
  <si>
    <t>MATERIALE</t>
  </si>
  <si>
    <t xml:space="preserve">COMMESSA </t>
  </si>
  <si>
    <t>ETICHETTA</t>
  </si>
  <si>
    <t>FORNITORE</t>
  </si>
  <si>
    <t>ERAMNESIA</t>
  </si>
  <si>
    <t>ER-BOX-01</t>
  </si>
  <si>
    <t>FE-SJ235</t>
  </si>
  <si>
    <t>CSA</t>
  </si>
  <si>
    <t>ER-BOX-02</t>
  </si>
  <si>
    <t>ER-BOX-03</t>
  </si>
  <si>
    <t>ER-BOX-04</t>
  </si>
  <si>
    <t>ER-BOX-05</t>
  </si>
  <si>
    <t>ER-BOX-06</t>
  </si>
  <si>
    <t>ER-BOX-07</t>
  </si>
  <si>
    <t>ER-BOX-08</t>
  </si>
  <si>
    <t>ER-BOX-09</t>
  </si>
  <si>
    <t>ER-RIB-01</t>
  </si>
  <si>
    <t>ER-RIB-02</t>
  </si>
  <si>
    <t>ER-RIB-03</t>
  </si>
  <si>
    <t>ER-RIB-04</t>
  </si>
  <si>
    <t>ER-RIB-05</t>
  </si>
  <si>
    <t>VERSIDER</t>
  </si>
  <si>
    <t>CODICE A BARRE</t>
  </si>
  <si>
    <t>NOME DISEGNO</t>
  </si>
  <si>
    <t xml:space="preserve"> DESCRIZIONE</t>
  </si>
  <si>
    <t>TIPO</t>
  </si>
  <si>
    <t>FORMATO</t>
  </si>
  <si>
    <t>CLIENTE</t>
  </si>
  <si>
    <t>SCATOLATO PERIMETRALE  A-C</t>
  </si>
  <si>
    <t>SCATOLATO</t>
  </si>
  <si>
    <t>40X40X2</t>
  </si>
  <si>
    <t>ERAMNSEIA</t>
  </si>
  <si>
    <t>SCATOLATO PERIMETRALE  B</t>
  </si>
  <si>
    <t>LONGHERONE CORTO DX-SX</t>
  </si>
  <si>
    <t>LONGHERONE LUNGO</t>
  </si>
  <si>
    <t xml:space="preserve">PIASTRA INFERIORE LONGHERONI </t>
  </si>
  <si>
    <t>LAMIERA</t>
  </si>
  <si>
    <t>PIASTRA SUPERIORE LONGHERONI CORTI</t>
  </si>
  <si>
    <t>PIASTRA SUPERIORE LONGHERONE LUNGO</t>
  </si>
  <si>
    <t xml:space="preserve">PIEDE </t>
  </si>
  <si>
    <t>PIASTRA PIEDE</t>
  </si>
  <si>
    <t>CORRIMANO SUPERIORE</t>
  </si>
  <si>
    <t>60X40X2</t>
  </si>
  <si>
    <t>TRAVERSO INTERMEDIO SUPERIORE INFERIORE</t>
  </si>
  <si>
    <t>PALI VERTICALI</t>
  </si>
  <si>
    <t>QUADRO</t>
  </si>
  <si>
    <t>PIASTRA UNIONE RINGHIERE</t>
  </si>
  <si>
    <t>ER-RIB-06</t>
  </si>
  <si>
    <t>TAPPI PASSAMANO SCATOLATO</t>
  </si>
  <si>
    <t xml:space="preserve">STIMA </t>
  </si>
  <si>
    <t>BASE SX</t>
  </si>
  <si>
    <t>30X30X2</t>
  </si>
  <si>
    <t>BASE DX</t>
  </si>
  <si>
    <t>BASE POST</t>
  </si>
  <si>
    <t>BASE SUP DX</t>
  </si>
  <si>
    <t>BASE SUP FRONT</t>
  </si>
  <si>
    <t>BASE SUP BACK</t>
  </si>
  <si>
    <t>BASE SUP SX</t>
  </si>
  <si>
    <t>COLLEGAMENTO ALZATINA</t>
  </si>
  <si>
    <t>DX-SX ALZATINA</t>
  </si>
  <si>
    <t>FRONT BACK ALZATINA</t>
  </si>
  <si>
    <t>SUPPOSTO ALZATINA COVER</t>
  </si>
  <si>
    <t>3</t>
  </si>
  <si>
    <t>BAR STATION</t>
  </si>
  <si>
    <t>STAFFA ALZATINA DX</t>
  </si>
  <si>
    <t>STAFFA ALZATINA SX</t>
  </si>
  <si>
    <t>PIANO ALZATINA</t>
  </si>
  <si>
    <t>1,5</t>
  </si>
  <si>
    <t>ASI-304</t>
  </si>
  <si>
    <t>PIANO  INOX</t>
  </si>
  <si>
    <t>COMMESSA</t>
  </si>
  <si>
    <t>erbox02</t>
  </si>
  <si>
    <t>FORMATO / SPESSORE</t>
  </si>
  <si>
    <t>erbox01</t>
  </si>
  <si>
    <t>erbox03</t>
  </si>
  <si>
    <t>erbox04</t>
  </si>
  <si>
    <t>erbox05</t>
  </si>
  <si>
    <t>erbox06</t>
  </si>
  <si>
    <t>erbox07</t>
  </si>
  <si>
    <t>erbox08</t>
  </si>
  <si>
    <t>erbox09</t>
  </si>
  <si>
    <t>errib01</t>
  </si>
  <si>
    <t>errib02</t>
  </si>
  <si>
    <t>errib03</t>
  </si>
  <si>
    <t>errib04</t>
  </si>
  <si>
    <t>errib05</t>
  </si>
  <si>
    <t>errib06</t>
  </si>
  <si>
    <t>erbot01</t>
  </si>
  <si>
    <t>ER-BOT-01</t>
  </si>
  <si>
    <t>erbot02</t>
  </si>
  <si>
    <t>erbot03</t>
  </si>
  <si>
    <t>erbot04</t>
  </si>
  <si>
    <t>ER-BOT-02</t>
  </si>
  <si>
    <t>ER-BOT-03</t>
  </si>
  <si>
    <t>ER-BOT-04</t>
  </si>
  <si>
    <t>erbot05</t>
  </si>
  <si>
    <t>ER-BOT-05</t>
  </si>
  <si>
    <t>ER-BOT-06</t>
  </si>
  <si>
    <t>erbot06</t>
  </si>
  <si>
    <t>BOTTIGLIERA</t>
  </si>
  <si>
    <t>LONGHER-BASE</t>
  </si>
  <si>
    <t>LONGHERONE DX-SX</t>
  </si>
  <si>
    <t>PIEDE PART 1</t>
  </si>
  <si>
    <t>PIEDE PART 2</t>
  </si>
  <si>
    <t>PIEDE PART 3 dx asola croci</t>
  </si>
  <si>
    <t>PIEDE PART 4 sx asola croci</t>
  </si>
  <si>
    <t>ER-BOT-07</t>
  </si>
  <si>
    <t>erbot07</t>
  </si>
  <si>
    <t>ER-BOT-08</t>
  </si>
  <si>
    <t>erbot08</t>
  </si>
  <si>
    <t>LONGHERONE CENTRALE BASE SUPERIORE</t>
  </si>
  <si>
    <t>20X20X2</t>
  </si>
  <si>
    <t>ER-BOT-09</t>
  </si>
  <si>
    <t>erbot09</t>
  </si>
  <si>
    <t>ER-BOT-10</t>
  </si>
  <si>
    <t>erbot10</t>
  </si>
  <si>
    <t>ALZATINA PART 1 base</t>
  </si>
  <si>
    <t>ALZATINA PART 2 alzata 1</t>
  </si>
  <si>
    <t>ALZATINA PART3 ALZATA2</t>
  </si>
  <si>
    <t>ERAMNSIA</t>
  </si>
  <si>
    <t>ER-BOT-11</t>
  </si>
  <si>
    <t>erbot11</t>
  </si>
  <si>
    <t>BASE ALZATINA 150</t>
  </si>
  <si>
    <t>ER-BOT-12</t>
  </si>
  <si>
    <t>erbot12</t>
  </si>
  <si>
    <t>ALZATINA ALZATA 3</t>
  </si>
  <si>
    <t>ER-BOT-13</t>
  </si>
  <si>
    <t>erbot13</t>
  </si>
  <si>
    <t>QUADRO 10</t>
  </si>
  <si>
    <t>10</t>
  </si>
  <si>
    <t>ER-BIC-01</t>
  </si>
  <si>
    <t>erbic01</t>
  </si>
  <si>
    <t>ER-BIC-02</t>
  </si>
  <si>
    <t>erbic02</t>
  </si>
  <si>
    <t>RIPIANO GIUZIONE PIEDI</t>
  </si>
  <si>
    <t xml:space="preserve">RIPIANO PEZZO LUNGO </t>
  </si>
  <si>
    <t>ER-BIC-03</t>
  </si>
  <si>
    <t>erbic03</t>
  </si>
  <si>
    <t xml:space="preserve">RIPIANO GOMITO </t>
  </si>
  <si>
    <t>BICCHIERI</t>
  </si>
  <si>
    <t>erbar01</t>
  </si>
  <si>
    <t>ER-BAR-01</t>
  </si>
  <si>
    <t>erbar02</t>
  </si>
  <si>
    <t>ER-BAR-02</t>
  </si>
  <si>
    <t>erbar03</t>
  </si>
  <si>
    <t>ER-BAR-03</t>
  </si>
  <si>
    <t>erbar04</t>
  </si>
  <si>
    <t>ER-BAR-04</t>
  </si>
  <si>
    <t>erbar05</t>
  </si>
  <si>
    <t>ER-BAR-05</t>
  </si>
  <si>
    <t>erbar06</t>
  </si>
  <si>
    <t>ER-BAR-06</t>
  </si>
  <si>
    <t>erbar07</t>
  </si>
  <si>
    <t>ER-BAR-07</t>
  </si>
  <si>
    <t>erbar08</t>
  </si>
  <si>
    <t>ER-BAR-08</t>
  </si>
  <si>
    <t>erbar09</t>
  </si>
  <si>
    <t>ER-BAR-09</t>
  </si>
  <si>
    <t>erbar10</t>
  </si>
  <si>
    <t>ER-BAR-10</t>
  </si>
  <si>
    <t>erbar11</t>
  </si>
  <si>
    <t>ER-BAR-11</t>
  </si>
  <si>
    <t>erbar12</t>
  </si>
  <si>
    <t>ER-BAR-12</t>
  </si>
  <si>
    <t>erbar13</t>
  </si>
  <si>
    <t>ER-BAR-13</t>
  </si>
  <si>
    <t>erbar14</t>
  </si>
  <si>
    <t>ER-BAR-14</t>
  </si>
  <si>
    <t>erbar15</t>
  </si>
  <si>
    <t>ER-BAR-15</t>
  </si>
  <si>
    <t>erbar16</t>
  </si>
  <si>
    <t>ER-BAR-16</t>
  </si>
  <si>
    <t xml:space="preserve">BOX PEDANA </t>
  </si>
  <si>
    <t>RIB RINGHIERA</t>
  </si>
  <si>
    <t>FRIGORIFERI</t>
  </si>
  <si>
    <t>erfri01</t>
  </si>
  <si>
    <t>ER-FRI-01</t>
  </si>
  <si>
    <t>erfri02</t>
  </si>
  <si>
    <t>ER-FRI-02</t>
  </si>
  <si>
    <t>erfri03</t>
  </si>
  <si>
    <t>ER-FRI-03</t>
  </si>
  <si>
    <t>erfri04</t>
  </si>
  <si>
    <t>ER-FRI-04</t>
  </si>
  <si>
    <t>erfri05</t>
  </si>
  <si>
    <t>ER-FRI-05</t>
  </si>
  <si>
    <t>erfri06</t>
  </si>
  <si>
    <t>ER-FRI-06</t>
  </si>
  <si>
    <t>erfri07</t>
  </si>
  <si>
    <t>ER-FRI-07</t>
  </si>
  <si>
    <t>erfri08</t>
  </si>
  <si>
    <t>ER-FRI-08</t>
  </si>
  <si>
    <t>erfri09</t>
  </si>
  <si>
    <t>ER-FRI-09</t>
  </si>
  <si>
    <t>password blocco</t>
  </si>
  <si>
    <t>BASE-COPERCHIO 1</t>
  </si>
  <si>
    <t>BASE-COPERCHIO 2</t>
  </si>
  <si>
    <t>BASE-COPERCHIO 3</t>
  </si>
  <si>
    <t>BASE-COPERCHIO 4</t>
  </si>
  <si>
    <t>PIEDE ANTERIORE DX-SX</t>
  </si>
  <si>
    <t>PIEDE POSTERIORE DX</t>
  </si>
  <si>
    <t>PIEDE POSTERIORE SX</t>
  </si>
  <si>
    <t xml:space="preserve">TRAVERSO INTERMEDIO SX-DX </t>
  </si>
  <si>
    <t>TRAVERSO INTERMEDIO POSTERIORE</t>
  </si>
  <si>
    <t>erfri10</t>
  </si>
  <si>
    <t>ER-FRI-10</t>
  </si>
  <si>
    <t>erfri11</t>
  </si>
  <si>
    <t>ER-FRI-11</t>
  </si>
  <si>
    <t>PORTA BASSO</t>
  </si>
  <si>
    <t>PORTA LATERALE</t>
  </si>
  <si>
    <t>erfri12</t>
  </si>
  <si>
    <t>ER-FRI-12</t>
  </si>
  <si>
    <t>TRAVERSO PORTA</t>
  </si>
  <si>
    <t xml:space="preserve">VERICALI </t>
  </si>
  <si>
    <t>14</t>
  </si>
  <si>
    <t>erfri13</t>
  </si>
  <si>
    <t>ER-FRI-13</t>
  </si>
  <si>
    <t>e</t>
  </si>
  <si>
    <t>erpal01</t>
  </si>
  <si>
    <t>ER-PAL-01</t>
  </si>
  <si>
    <t xml:space="preserve">PALI LUCE </t>
  </si>
  <si>
    <t>erpal02</t>
  </si>
  <si>
    <t>ER-PAL-02</t>
  </si>
  <si>
    <t>erpal03</t>
  </si>
  <si>
    <t>ER-PAL-03</t>
  </si>
  <si>
    <t>erpal04</t>
  </si>
  <si>
    <t>ER-PAL-04</t>
  </si>
  <si>
    <t>erpal05</t>
  </si>
  <si>
    <t>ER-PAL-05</t>
  </si>
  <si>
    <t>erpal06</t>
  </si>
  <si>
    <t>ER-PAL-06</t>
  </si>
  <si>
    <t>erpal07</t>
  </si>
  <si>
    <t>ER-PAL-07</t>
  </si>
  <si>
    <t>erpal08</t>
  </si>
  <si>
    <t>ER-PAL-08</t>
  </si>
  <si>
    <t>erpal09</t>
  </si>
  <si>
    <t>ER-PAL-09</t>
  </si>
  <si>
    <t>erpal10</t>
  </si>
  <si>
    <t>ER-PAL-10</t>
  </si>
  <si>
    <t>erpal11</t>
  </si>
  <si>
    <t>ER-PAL-11</t>
  </si>
  <si>
    <t>erpal12</t>
  </si>
  <si>
    <t>ER-PAL-12</t>
  </si>
  <si>
    <t>erpal13</t>
  </si>
  <si>
    <t>ER-PAL-13</t>
  </si>
  <si>
    <t>erpal14</t>
  </si>
  <si>
    <t>ER-PAL-14</t>
  </si>
  <si>
    <t>erpal15</t>
  </si>
  <si>
    <t>ER-PAL-15</t>
  </si>
  <si>
    <t>erpal16</t>
  </si>
  <si>
    <t>ER-PAL-16</t>
  </si>
  <si>
    <t>PALO ALTO</t>
  </si>
  <si>
    <t>TUBO</t>
  </si>
  <si>
    <t>48,3</t>
  </si>
  <si>
    <t xml:space="preserve">PALO BASSO </t>
  </si>
  <si>
    <t>60,3</t>
  </si>
  <si>
    <t>SUPPORTO TUBO LAMPIONE</t>
  </si>
  <si>
    <t xml:space="preserve">BICCHIERE PICCOLO </t>
  </si>
  <si>
    <t xml:space="preserve">TUBO </t>
  </si>
  <si>
    <t>FINESTRA LAMPIONE</t>
  </si>
  <si>
    <t>TETTO LAMPIONE</t>
  </si>
  <si>
    <t xml:space="preserve">LAMIERA </t>
  </si>
  <si>
    <t>DIMA TETTO</t>
  </si>
  <si>
    <t>BASE LAMPIONE</t>
  </si>
  <si>
    <t>CONNESSIONE LAMPIONE PALO</t>
  </si>
  <si>
    <t>ANELLI PALO</t>
  </si>
  <si>
    <t>FLANGIA BASE PALO</t>
  </si>
  <si>
    <t>FLANGIA BASE COLLEGAMENTO CEMENTO</t>
  </si>
  <si>
    <t>BASE FACCIA 1</t>
  </si>
  <si>
    <t>BASE FACCIA 2 PASSAGGIO CAVO</t>
  </si>
  <si>
    <t>TAPPO SOTTILE BASE</t>
  </si>
  <si>
    <t xml:space="preserve">CENTRO SUPPORTO BARRE FILETTATE </t>
  </si>
  <si>
    <t>erpal17</t>
  </si>
  <si>
    <t>ER-PAL-17</t>
  </si>
  <si>
    <t>BASE INFERIORE GRANDE</t>
  </si>
  <si>
    <t>CARLONE</t>
  </si>
  <si>
    <t>MONTANTE VERTICALE DX</t>
  </si>
  <si>
    <t>MONTANTE VERTICALE SX</t>
  </si>
  <si>
    <t>PONTOLILLO</t>
  </si>
  <si>
    <t>posco01</t>
  </si>
  <si>
    <t>PO-SCO-01</t>
  </si>
  <si>
    <t>SCOSSALINE RINGHIERA BAGNO</t>
  </si>
  <si>
    <t>SCOSSALINE RINGHIERA BAGN0</t>
  </si>
  <si>
    <t>posco02</t>
  </si>
  <si>
    <t>PO-SCO-02</t>
  </si>
  <si>
    <t>posco03</t>
  </si>
  <si>
    <t>PO-SCO-03</t>
  </si>
  <si>
    <t>posco04</t>
  </si>
  <si>
    <t>PO-SCO-04</t>
  </si>
  <si>
    <t>posco05</t>
  </si>
  <si>
    <t>PO-SCO-05</t>
  </si>
  <si>
    <t>posco06</t>
  </si>
  <si>
    <t>PO-SCO-06</t>
  </si>
  <si>
    <t>errib07</t>
  </si>
  <si>
    <t>ER-RIB-07</t>
  </si>
  <si>
    <t>RING BAGNO SCOSS SX</t>
  </si>
  <si>
    <t>RING BAGNO SCOSS ANT SX</t>
  </si>
  <si>
    <t>RING BAGNO SCOSS ANT DX</t>
  </si>
  <si>
    <t>RING BAGNO SCOSS DX</t>
  </si>
  <si>
    <t xml:space="preserve">MONTANTI </t>
  </si>
  <si>
    <t>PISTRE GIUNZIONE</t>
  </si>
  <si>
    <t>CASSONETTO CONTATORE ACQUA</t>
  </si>
  <si>
    <t>pocas01</t>
  </si>
  <si>
    <t>PO-CAS-01</t>
  </si>
  <si>
    <t>pocas02</t>
  </si>
  <si>
    <t>PO-CAS-02</t>
  </si>
  <si>
    <t>pocas03</t>
  </si>
  <si>
    <t>PO-CAS-03</t>
  </si>
  <si>
    <t>pocas04</t>
  </si>
  <si>
    <t>PO-CAS-04</t>
  </si>
  <si>
    <t>pocas05</t>
  </si>
  <si>
    <t>PO-CAS-05</t>
  </si>
  <si>
    <t>pocas06</t>
  </si>
  <si>
    <t>PO-CAS-06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</si>
</sst>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TopSolidFont Code 128"/>
      <charset val="2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72"/>
      <color theme="1"/>
      <name val="Libre Barcode 39"/>
    </font>
    <font>
      <b/>
      <sz val="24"/>
      <color rgb="FF000000"/>
      <name val="3ds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3" fillId="0" borderId="1" xfId="0" applyNumberFormat="1" applyFont="1" applyBorder="1"/>
    <xf numFmtId="49" fontId="3" fillId="0" borderId="1" xfId="0" applyNumberFormat="1" applyFont="1" applyBorder="1" applyAlignment="1">
      <alignment horizontal="center" vertical="center"/>
    </xf>
    <xf numFmtId="0" fontId="4" fillId="0" borderId="0" xfId="0" applyFont="1"/>
    <xf numFmtId="0" fontId="3" fillId="2" borderId="1" xfId="0" applyFont="1" applyFill="1" applyBorder="1"/>
    <xf numFmtId="49" fontId="3" fillId="0" borderId="3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49" fontId="3" fillId="4" borderId="3" xfId="0" applyNumberFormat="1" applyFont="1" applyFill="1" applyBorder="1" applyAlignment="1">
      <alignment horizontal="center" vertical="center"/>
    </xf>
    <xf numFmtId="49" fontId="3" fillId="0" borderId="2" xfId="0" applyNumberFormat="1" applyFont="1" applyBorder="1"/>
    <xf numFmtId="49" fontId="3" fillId="0" borderId="3" xfId="0" applyNumberFormat="1" applyFont="1" applyBorder="1"/>
    <xf numFmtId="0" fontId="6" fillId="2" borderId="5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" fillId="8" borderId="1" xfId="0" applyNumberFormat="1" applyFont="1" applyFill="1" applyBorder="1" applyAlignment="1">
      <alignment horizontal="center" vertical="center"/>
    </xf>
    <xf numFmtId="49" fontId="1" fillId="8" borderId="2" xfId="0" applyNumberFormat="1" applyFont="1" applyFill="1" applyBorder="1" applyAlignment="1">
      <alignment horizontal="center" vertical="center"/>
    </xf>
    <xf numFmtId="49" fontId="1" fillId="8" borderId="3" xfId="0" applyNumberFormat="1" applyFont="1" applyFill="1" applyBorder="1" applyAlignment="1">
      <alignment horizontal="center" vertical="center"/>
    </xf>
    <xf numFmtId="49" fontId="3" fillId="9" borderId="1" xfId="0" applyNumberFormat="1" applyFont="1" applyFill="1" applyBorder="1" applyAlignment="1">
      <alignment horizontal="center" vertical="center"/>
    </xf>
    <xf numFmtId="49" fontId="3" fillId="9" borderId="2" xfId="0" applyNumberFormat="1" applyFont="1" applyFill="1" applyBorder="1" applyAlignment="1">
      <alignment horizontal="center" vertical="center"/>
    </xf>
    <xf numFmtId="49" fontId="3" fillId="9" borderId="3" xfId="0" applyNumberFormat="1" applyFont="1" applyFill="1" applyBorder="1" applyAlignment="1">
      <alignment horizontal="center" vertical="center"/>
    </xf>
    <xf numFmtId="49" fontId="3" fillId="9" borderId="7" xfId="0" applyNumberFormat="1" applyFont="1" applyFill="1" applyBorder="1" applyAlignment="1">
      <alignment horizontal="center" vertical="center"/>
    </xf>
    <xf numFmtId="0" fontId="0" fillId="0" borderId="6" xfId="0" applyBorder="1"/>
    <xf numFmtId="49" fontId="3" fillId="8" borderId="3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3" fillId="8" borderId="7" xfId="0" applyNumberFormat="1" applyFont="1" applyFill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/>
    <xf numFmtId="49" fontId="1" fillId="8" borderId="7" xfId="0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1</xdr:row>
          <xdr:rowOff>200025</xdr:rowOff>
        </xdr:from>
        <xdr:to>
          <xdr:col>11</xdr:col>
          <xdr:colOff>1209675</xdr:colOff>
          <xdr:row>1</xdr:row>
          <xdr:rowOff>1019175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2400" b="1" i="0" u="none" strike="noStrike" baseline="0">
                  <a:solidFill>
                    <a:srgbClr val="000000"/>
                  </a:solidFill>
                  <a:latin typeface="3ds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5</xdr:row>
          <xdr:rowOff>228600</xdr:rowOff>
        </xdr:from>
        <xdr:to>
          <xdr:col>12</xdr:col>
          <xdr:colOff>2314575</xdr:colOff>
          <xdr:row>5</xdr:row>
          <xdr:rowOff>1057275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CODICI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4</xdr:row>
          <xdr:rowOff>161925</xdr:rowOff>
        </xdr:from>
        <xdr:to>
          <xdr:col>12</xdr:col>
          <xdr:colOff>2352675</xdr:colOff>
          <xdr:row>4</xdr:row>
          <xdr:rowOff>895350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TRASFERISCI CODICI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A1:M116"/>
  <sheetViews>
    <sheetView tabSelected="1" topLeftCell="A86" zoomScale="70" zoomScaleNormal="70" workbookViewId="0">
      <selection activeCell="M92" sqref="M92"/>
    </sheetView>
  </sheetViews>
  <sheetFormatPr defaultRowHeight="15" x14ac:dyDescent="0.25"/>
  <cols>
    <col min="1" max="2" width="31.140625" customWidth="1"/>
    <col min="3" max="3" width="19.42578125" bestFit="1" customWidth="1"/>
    <col min="4" max="4" width="28.140625" bestFit="1" customWidth="1"/>
    <col min="5" max="5" width="12.28515625" customWidth="1"/>
    <col min="6" max="6" width="13.7109375" customWidth="1"/>
    <col min="7" max="7" width="15.85546875" bestFit="1" customWidth="1"/>
    <col min="8" max="8" width="37.28515625" bestFit="1" customWidth="1"/>
    <col min="9" max="9" width="89.140625" customWidth="1"/>
    <col min="10" max="10" width="17.85546875" customWidth="1"/>
    <col min="11" max="11" width="41" customWidth="1"/>
    <col min="12" max="12" width="21.85546875" customWidth="1"/>
    <col min="13" max="13" width="42.140625" customWidth="1"/>
    <col min="14" max="14" width="25" customWidth="1"/>
  </cols>
  <sheetData>
    <row r="1" spans="1:13" ht="21" customHeight="1" x14ac:dyDescent="0.2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3" t="s">
        <v>55</v>
      </c>
      <c r="M1" s="5"/>
    </row>
    <row r="2" spans="1:13" ht="89.25" customHeight="1" x14ac:dyDescent="0.25">
      <c r="A2" s="29" t="s">
        <v>10</v>
      </c>
      <c r="B2" s="18" t="s">
        <v>11</v>
      </c>
      <c r="C2" s="17" t="s">
        <v>79</v>
      </c>
      <c r="D2" s="2">
        <v>36</v>
      </c>
      <c r="E2" s="2">
        <f>(F2/1000)*2.5</f>
        <v>6</v>
      </c>
      <c r="F2" s="2">
        <v>2400</v>
      </c>
      <c r="G2" s="17" t="s">
        <v>12</v>
      </c>
      <c r="H2" s="2" t="s">
        <v>178</v>
      </c>
      <c r="I2" s="38" t="str">
        <f>"*"&amp;C2&amp;"*"</f>
        <v>*erbox01*</v>
      </c>
      <c r="J2" s="14" t="s">
        <v>13</v>
      </c>
      <c r="K2" s="19">
        <f>((((F2/1000)*D2)*2.5)*2)*1.5</f>
        <v>647.99999999999989</v>
      </c>
    </row>
    <row r="3" spans="1:13" ht="89.25" customHeight="1" x14ac:dyDescent="0.25">
      <c r="A3" s="29" t="s">
        <v>10</v>
      </c>
      <c r="B3" s="18" t="s">
        <v>14</v>
      </c>
      <c r="C3" s="17" t="s">
        <v>77</v>
      </c>
      <c r="D3" s="2">
        <v>18</v>
      </c>
      <c r="E3" s="2">
        <f t="shared" ref="E3:E17" si="0">(F3/1000)*2.5</f>
        <v>5.75</v>
      </c>
      <c r="F3" s="2">
        <v>2300</v>
      </c>
      <c r="G3" s="2" t="s">
        <v>12</v>
      </c>
      <c r="H3" s="2" t="s">
        <v>178</v>
      </c>
      <c r="I3" s="38" t="str">
        <f t="shared" ref="I3:I67" si="1">"*"&amp;C3&amp;"*"</f>
        <v>*erbox02*</v>
      </c>
      <c r="J3" s="14" t="s">
        <v>13</v>
      </c>
      <c r="K3" s="19">
        <f t="shared" ref="K3:K34" si="2">((((F3/1000)*D3)*2.5)*2)*1.5</f>
        <v>310.5</v>
      </c>
    </row>
    <row r="4" spans="1:13" ht="89.25" customHeight="1" x14ac:dyDescent="0.25">
      <c r="A4" s="29" t="s">
        <v>10</v>
      </c>
      <c r="B4" s="18" t="s">
        <v>15</v>
      </c>
      <c r="C4" s="17" t="s">
        <v>80</v>
      </c>
      <c r="D4" s="2">
        <v>36</v>
      </c>
      <c r="E4" s="2">
        <f t="shared" si="0"/>
        <v>2.75</v>
      </c>
      <c r="F4" s="2">
        <v>1100</v>
      </c>
      <c r="G4" s="2" t="s">
        <v>12</v>
      </c>
      <c r="H4" s="2" t="s">
        <v>178</v>
      </c>
      <c r="I4" s="38" t="str">
        <f t="shared" si="1"/>
        <v>*erbox03*</v>
      </c>
      <c r="J4" s="14" t="s">
        <v>13</v>
      </c>
      <c r="K4" s="19">
        <f t="shared" si="2"/>
        <v>297</v>
      </c>
    </row>
    <row r="5" spans="1:13" ht="89.25" customHeight="1" x14ac:dyDescent="0.25">
      <c r="A5" s="29" t="s">
        <v>10</v>
      </c>
      <c r="B5" s="18" t="s">
        <v>16</v>
      </c>
      <c r="C5" s="17" t="s">
        <v>81</v>
      </c>
      <c r="D5" s="2">
        <v>18</v>
      </c>
      <c r="E5" s="2">
        <f t="shared" si="0"/>
        <v>5</v>
      </c>
      <c r="F5" s="2">
        <v>2000</v>
      </c>
      <c r="G5" s="2" t="s">
        <v>12</v>
      </c>
      <c r="H5" s="2" t="s">
        <v>178</v>
      </c>
      <c r="I5" s="38" t="str">
        <f t="shared" si="1"/>
        <v>*erbox04*</v>
      </c>
      <c r="J5" s="14" t="s">
        <v>13</v>
      </c>
      <c r="K5" s="19">
        <f t="shared" si="2"/>
        <v>270</v>
      </c>
    </row>
    <row r="6" spans="1:13" ht="89.25" customHeight="1" thickBot="1" x14ac:dyDescent="0.3">
      <c r="A6" s="29" t="s">
        <v>10</v>
      </c>
      <c r="B6" s="18" t="s">
        <v>17</v>
      </c>
      <c r="C6" s="17" t="s">
        <v>82</v>
      </c>
      <c r="D6" s="2">
        <v>54</v>
      </c>
      <c r="E6" s="2">
        <f t="shared" si="0"/>
        <v>0</v>
      </c>
      <c r="F6" s="2"/>
      <c r="G6" s="2" t="s">
        <v>12</v>
      </c>
      <c r="H6" s="2" t="s">
        <v>178</v>
      </c>
      <c r="I6" s="38" t="str">
        <f t="shared" si="1"/>
        <v>*erbox05*</v>
      </c>
      <c r="J6" s="51" t="s">
        <v>280</v>
      </c>
      <c r="K6" s="19">
        <f t="shared" si="2"/>
        <v>0</v>
      </c>
    </row>
    <row r="7" spans="1:13" ht="89.25" customHeight="1" x14ac:dyDescent="0.25">
      <c r="A7" s="29" t="s">
        <v>10</v>
      </c>
      <c r="B7" s="18" t="s">
        <v>18</v>
      </c>
      <c r="C7" s="17" t="s">
        <v>83</v>
      </c>
      <c r="D7" s="2">
        <v>36</v>
      </c>
      <c r="E7" s="2">
        <f t="shared" si="0"/>
        <v>0</v>
      </c>
      <c r="F7" s="2"/>
      <c r="G7" s="2" t="s">
        <v>12</v>
      </c>
      <c r="H7" s="2" t="s">
        <v>178</v>
      </c>
      <c r="I7" s="38" t="str">
        <f t="shared" si="1"/>
        <v>*erbox06*</v>
      </c>
      <c r="J7" s="14" t="s">
        <v>13</v>
      </c>
      <c r="K7" s="19">
        <f t="shared" si="2"/>
        <v>0</v>
      </c>
    </row>
    <row r="8" spans="1:13" ht="89.25" customHeight="1" thickBot="1" x14ac:dyDescent="0.3">
      <c r="A8" s="29" t="s">
        <v>10</v>
      </c>
      <c r="B8" s="18" t="s">
        <v>19</v>
      </c>
      <c r="C8" s="17" t="s">
        <v>84</v>
      </c>
      <c r="D8" s="2">
        <v>36</v>
      </c>
      <c r="E8" s="2">
        <f t="shared" si="0"/>
        <v>0</v>
      </c>
      <c r="F8" s="2"/>
      <c r="G8" s="2" t="s">
        <v>12</v>
      </c>
      <c r="H8" s="2" t="s">
        <v>178</v>
      </c>
      <c r="I8" s="38" t="str">
        <f t="shared" si="1"/>
        <v>*erbox07*</v>
      </c>
      <c r="J8" s="51" t="s">
        <v>280</v>
      </c>
      <c r="K8" s="19">
        <f t="shared" si="2"/>
        <v>0</v>
      </c>
    </row>
    <row r="9" spans="1:13" ht="89.25" customHeight="1" x14ac:dyDescent="0.25">
      <c r="A9" s="29" t="s">
        <v>10</v>
      </c>
      <c r="B9" s="18" t="s">
        <v>20</v>
      </c>
      <c r="C9" s="17" t="s">
        <v>85</v>
      </c>
      <c r="D9" s="2">
        <v>126</v>
      </c>
      <c r="E9" s="2">
        <f t="shared" si="0"/>
        <v>0.375</v>
      </c>
      <c r="F9" s="2">
        <v>150</v>
      </c>
      <c r="G9" s="2" t="s">
        <v>12</v>
      </c>
      <c r="H9" s="2" t="s">
        <v>178</v>
      </c>
      <c r="I9" s="38" t="str">
        <f t="shared" si="1"/>
        <v>*erbox08*</v>
      </c>
      <c r="J9" s="14" t="s">
        <v>13</v>
      </c>
      <c r="K9" s="19">
        <f t="shared" si="2"/>
        <v>141.75</v>
      </c>
    </row>
    <row r="10" spans="1:13" ht="89.25" customHeight="1" thickBot="1" x14ac:dyDescent="0.3">
      <c r="A10" s="30" t="s">
        <v>10</v>
      </c>
      <c r="B10" s="26" t="s">
        <v>21</v>
      </c>
      <c r="C10" s="17" t="s">
        <v>86</v>
      </c>
      <c r="D10" s="27">
        <v>126</v>
      </c>
      <c r="E10" s="27">
        <f t="shared" si="0"/>
        <v>0</v>
      </c>
      <c r="F10" s="27"/>
      <c r="G10" s="27" t="s">
        <v>12</v>
      </c>
      <c r="H10" s="2" t="s">
        <v>178</v>
      </c>
      <c r="I10" s="38" t="str">
        <f t="shared" si="1"/>
        <v>*erbox09*</v>
      </c>
      <c r="J10" s="51" t="s">
        <v>280</v>
      </c>
      <c r="K10" s="28">
        <f t="shared" si="2"/>
        <v>0</v>
      </c>
    </row>
    <row r="11" spans="1:13" ht="89.25" customHeight="1" x14ac:dyDescent="0.25">
      <c r="A11" s="31" t="s">
        <v>10</v>
      </c>
      <c r="B11" s="21" t="s">
        <v>22</v>
      </c>
      <c r="C11" s="17" t="s">
        <v>87</v>
      </c>
      <c r="D11" s="22">
        <v>15</v>
      </c>
      <c r="E11" s="22">
        <f t="shared" ref="E11" si="3">(F11/1000)*2.5</f>
        <v>3</v>
      </c>
      <c r="F11" s="22">
        <v>1200</v>
      </c>
      <c r="G11" s="22" t="s">
        <v>12</v>
      </c>
      <c r="H11" s="22" t="s">
        <v>179</v>
      </c>
      <c r="I11" s="38" t="str">
        <f t="shared" ref="I11" si="4">"*"&amp;C11&amp;"*"</f>
        <v>*errib01*</v>
      </c>
      <c r="J11" s="23" t="s">
        <v>13</v>
      </c>
      <c r="K11" s="24">
        <f t="shared" ref="K11" si="5">((((F11/1000)*D11)*2.5)*2)*1.5</f>
        <v>135</v>
      </c>
    </row>
    <row r="12" spans="1:13" ht="89.25" customHeight="1" x14ac:dyDescent="0.25">
      <c r="A12" s="31" t="s">
        <v>10</v>
      </c>
      <c r="B12" s="21" t="s">
        <v>23</v>
      </c>
      <c r="C12" s="17" t="s">
        <v>88</v>
      </c>
      <c r="D12" s="22">
        <v>15</v>
      </c>
      <c r="E12" s="22">
        <f t="shared" si="0"/>
        <v>3</v>
      </c>
      <c r="F12" s="22">
        <v>1200</v>
      </c>
      <c r="G12" s="22" t="s">
        <v>12</v>
      </c>
      <c r="H12" s="22" t="s">
        <v>179</v>
      </c>
      <c r="I12" s="38" t="str">
        <f t="shared" si="1"/>
        <v>*errib02*</v>
      </c>
      <c r="J12" s="23" t="s">
        <v>13</v>
      </c>
      <c r="K12" s="24">
        <f t="shared" si="2"/>
        <v>135</v>
      </c>
    </row>
    <row r="13" spans="1:13" ht="89.25" customHeight="1" x14ac:dyDescent="0.25">
      <c r="A13" s="29" t="s">
        <v>10</v>
      </c>
      <c r="B13" s="18" t="s">
        <v>24</v>
      </c>
      <c r="C13" s="17" t="s">
        <v>89</v>
      </c>
      <c r="D13" s="2">
        <v>15</v>
      </c>
      <c r="E13" s="2">
        <f>(F13/1000)*2.8</f>
        <v>6.4399999999999995</v>
      </c>
      <c r="F13" s="2">
        <v>2300</v>
      </c>
      <c r="G13" s="2" t="s">
        <v>12</v>
      </c>
      <c r="H13" s="22" t="s">
        <v>179</v>
      </c>
      <c r="I13" s="38" t="str">
        <f t="shared" si="1"/>
        <v>*errib03*</v>
      </c>
      <c r="J13" s="14" t="s">
        <v>13</v>
      </c>
      <c r="K13" s="19">
        <f t="shared" si="2"/>
        <v>258.75</v>
      </c>
    </row>
    <row r="14" spans="1:13" ht="89.25" customHeight="1" x14ac:dyDescent="0.25">
      <c r="A14" s="29" t="s">
        <v>10</v>
      </c>
      <c r="B14" s="18" t="s">
        <v>25</v>
      </c>
      <c r="C14" s="17" t="s">
        <v>90</v>
      </c>
      <c r="D14" s="2">
        <v>30</v>
      </c>
      <c r="E14" s="2">
        <f t="shared" si="0"/>
        <v>5.75</v>
      </c>
      <c r="F14" s="2">
        <v>2300</v>
      </c>
      <c r="G14" s="2" t="s">
        <v>12</v>
      </c>
      <c r="H14" s="22" t="s">
        <v>179</v>
      </c>
      <c r="I14" s="38" t="str">
        <f t="shared" si="1"/>
        <v>*errib04*</v>
      </c>
      <c r="J14" s="14" t="s">
        <v>13</v>
      </c>
      <c r="K14" s="19">
        <f t="shared" si="2"/>
        <v>517.5</v>
      </c>
    </row>
    <row r="15" spans="1:13" ht="89.25" customHeight="1" x14ac:dyDescent="0.25">
      <c r="A15" s="29" t="s">
        <v>10</v>
      </c>
      <c r="B15" s="18" t="s">
        <v>26</v>
      </c>
      <c r="C15" s="17" t="s">
        <v>91</v>
      </c>
      <c r="D15" s="2">
        <v>135</v>
      </c>
      <c r="E15" s="2">
        <f>(F15/1000)*1.3</f>
        <v>1.1700000000000002</v>
      </c>
      <c r="F15" s="2">
        <v>900</v>
      </c>
      <c r="G15" s="2" t="s">
        <v>12</v>
      </c>
      <c r="H15" s="22" t="s">
        <v>179</v>
      </c>
      <c r="I15" s="38" t="str">
        <f t="shared" si="1"/>
        <v>*errib05*</v>
      </c>
      <c r="J15" s="15" t="s">
        <v>27</v>
      </c>
      <c r="K15" s="19">
        <f t="shared" si="2"/>
        <v>911.25</v>
      </c>
    </row>
    <row r="16" spans="1:13" ht="89.25" customHeight="1" thickBot="1" x14ac:dyDescent="0.3">
      <c r="A16" s="29" t="s">
        <v>10</v>
      </c>
      <c r="B16" s="18" t="s">
        <v>53</v>
      </c>
      <c r="C16" s="17" t="s">
        <v>92</v>
      </c>
      <c r="D16" s="2">
        <v>24</v>
      </c>
      <c r="E16" s="2">
        <f t="shared" si="0"/>
        <v>0</v>
      </c>
      <c r="F16" s="2"/>
      <c r="G16" s="2" t="s">
        <v>12</v>
      </c>
      <c r="H16" s="22" t="s">
        <v>179</v>
      </c>
      <c r="I16" s="38" t="str">
        <f t="shared" si="1"/>
        <v>*errib06*</v>
      </c>
      <c r="J16" s="51" t="s">
        <v>280</v>
      </c>
      <c r="K16" s="19">
        <f t="shared" si="2"/>
        <v>0</v>
      </c>
    </row>
    <row r="17" spans="1:12" ht="89.25" customHeight="1" thickBot="1" x14ac:dyDescent="0.3">
      <c r="A17" s="30" t="s">
        <v>10</v>
      </c>
      <c r="B17" s="26" t="s">
        <v>299</v>
      </c>
      <c r="C17" s="25" t="s">
        <v>298</v>
      </c>
      <c r="D17" s="27">
        <v>12</v>
      </c>
      <c r="E17" s="27">
        <f t="shared" si="0"/>
        <v>0</v>
      </c>
      <c r="F17" s="27"/>
      <c r="G17" s="27" t="s">
        <v>12</v>
      </c>
      <c r="H17" s="22" t="s">
        <v>179</v>
      </c>
      <c r="I17" s="40" t="str">
        <f t="shared" si="1"/>
        <v>*errib07*</v>
      </c>
      <c r="J17" s="15" t="s">
        <v>27</v>
      </c>
      <c r="K17" s="28">
        <f t="shared" si="2"/>
        <v>0</v>
      </c>
    </row>
    <row r="18" spans="1:12" ht="92.25" customHeight="1" x14ac:dyDescent="0.25">
      <c r="A18" s="29" t="s">
        <v>10</v>
      </c>
      <c r="B18" s="18" t="s">
        <v>147</v>
      </c>
      <c r="C18" s="20" t="s">
        <v>146</v>
      </c>
      <c r="D18" s="22">
        <v>3</v>
      </c>
      <c r="E18" s="22">
        <f>(F18/1000)*1.8</f>
        <v>1.26</v>
      </c>
      <c r="F18" s="22">
        <v>700</v>
      </c>
      <c r="G18" s="22" t="s">
        <v>12</v>
      </c>
      <c r="H18" s="22" t="s">
        <v>69</v>
      </c>
      <c r="I18" s="39" t="str">
        <f t="shared" si="1"/>
        <v>*erbar01*</v>
      </c>
      <c r="J18" s="23" t="s">
        <v>13</v>
      </c>
      <c r="K18" s="24">
        <f t="shared" si="2"/>
        <v>15.749999999999996</v>
      </c>
    </row>
    <row r="19" spans="1:12" ht="84.75" customHeight="1" x14ac:dyDescent="0.25">
      <c r="A19" s="29" t="s">
        <v>10</v>
      </c>
      <c r="B19" s="18" t="s">
        <v>149</v>
      </c>
      <c r="C19" s="17" t="s">
        <v>148</v>
      </c>
      <c r="D19" s="2">
        <v>3</v>
      </c>
      <c r="E19" s="22">
        <f t="shared" ref="E19:E33" si="6">(F19/1000)*1.8</f>
        <v>1.26</v>
      </c>
      <c r="F19" s="2">
        <v>700</v>
      </c>
      <c r="G19" s="2" t="s">
        <v>12</v>
      </c>
      <c r="H19" s="2" t="s">
        <v>69</v>
      </c>
      <c r="I19" s="38" t="str">
        <f t="shared" si="1"/>
        <v>*erbar02*</v>
      </c>
      <c r="J19" s="23" t="s">
        <v>13</v>
      </c>
      <c r="K19" s="19">
        <f t="shared" si="2"/>
        <v>15.749999999999996</v>
      </c>
    </row>
    <row r="20" spans="1:12" ht="84" customHeight="1" x14ac:dyDescent="0.25">
      <c r="A20" s="29" t="s">
        <v>10</v>
      </c>
      <c r="B20" s="18" t="s">
        <v>151</v>
      </c>
      <c r="C20" s="17" t="s">
        <v>150</v>
      </c>
      <c r="D20" s="2">
        <v>3</v>
      </c>
      <c r="E20" s="22">
        <f t="shared" si="6"/>
        <v>2.16</v>
      </c>
      <c r="F20" s="2">
        <v>1200</v>
      </c>
      <c r="G20" s="2" t="s">
        <v>12</v>
      </c>
      <c r="H20" s="2" t="s">
        <v>69</v>
      </c>
      <c r="I20" s="38" t="str">
        <f t="shared" si="1"/>
        <v>*erbar03*</v>
      </c>
      <c r="J20" s="23" t="s">
        <v>13</v>
      </c>
      <c r="K20" s="19">
        <f t="shared" si="2"/>
        <v>27</v>
      </c>
      <c r="L20" s="5"/>
    </row>
    <row r="21" spans="1:12" ht="96.75" customHeight="1" x14ac:dyDescent="0.25">
      <c r="A21" s="29" t="s">
        <v>10</v>
      </c>
      <c r="B21" s="18" t="s">
        <v>153</v>
      </c>
      <c r="C21" s="17" t="s">
        <v>152</v>
      </c>
      <c r="D21" s="2">
        <v>12</v>
      </c>
      <c r="E21" s="22">
        <f t="shared" si="6"/>
        <v>1.8</v>
      </c>
      <c r="F21" s="2">
        <v>1000</v>
      </c>
      <c r="G21" s="2" t="s">
        <v>12</v>
      </c>
      <c r="H21" s="2" t="s">
        <v>69</v>
      </c>
      <c r="I21" s="38" t="str">
        <f t="shared" si="1"/>
        <v>*erbar04*</v>
      </c>
      <c r="J21" s="23" t="s">
        <v>13</v>
      </c>
      <c r="K21" s="19">
        <f t="shared" si="2"/>
        <v>90</v>
      </c>
    </row>
    <row r="22" spans="1:12" ht="87.75" customHeight="1" x14ac:dyDescent="0.25">
      <c r="A22" s="29" t="s">
        <v>10</v>
      </c>
      <c r="B22" s="18" t="s">
        <v>155</v>
      </c>
      <c r="C22" s="17" t="s">
        <v>154</v>
      </c>
      <c r="D22" s="2">
        <v>3</v>
      </c>
      <c r="E22" s="22">
        <f t="shared" si="6"/>
        <v>1.26</v>
      </c>
      <c r="F22" s="2">
        <v>700</v>
      </c>
      <c r="G22" s="2" t="s">
        <v>12</v>
      </c>
      <c r="H22" s="2" t="s">
        <v>69</v>
      </c>
      <c r="I22" s="38" t="str">
        <f t="shared" si="1"/>
        <v>*erbar05*</v>
      </c>
      <c r="J22" s="23" t="s">
        <v>13</v>
      </c>
      <c r="K22" s="19">
        <f t="shared" si="2"/>
        <v>15.749999999999996</v>
      </c>
    </row>
    <row r="23" spans="1:12" ht="76.5" customHeight="1" x14ac:dyDescent="0.25">
      <c r="A23" s="29" t="s">
        <v>10</v>
      </c>
      <c r="B23" s="18" t="s">
        <v>157</v>
      </c>
      <c r="C23" s="17" t="s">
        <v>156</v>
      </c>
      <c r="D23" s="2">
        <v>3</v>
      </c>
      <c r="E23" s="22">
        <f t="shared" si="6"/>
        <v>1.26</v>
      </c>
      <c r="F23" s="2">
        <v>700</v>
      </c>
      <c r="G23" s="2" t="s">
        <v>12</v>
      </c>
      <c r="H23" s="2" t="s">
        <v>69</v>
      </c>
      <c r="I23" s="38" t="str">
        <f t="shared" si="1"/>
        <v>*erbar06*</v>
      </c>
      <c r="J23" s="23" t="s">
        <v>13</v>
      </c>
      <c r="K23" s="19">
        <f t="shared" si="2"/>
        <v>15.749999999999996</v>
      </c>
    </row>
    <row r="24" spans="1:12" ht="101.25" x14ac:dyDescent="0.25">
      <c r="A24" s="29" t="s">
        <v>10</v>
      </c>
      <c r="B24" s="18" t="s">
        <v>159</v>
      </c>
      <c r="C24" s="17" t="s">
        <v>158</v>
      </c>
      <c r="D24" s="2">
        <v>3</v>
      </c>
      <c r="E24" s="22">
        <f t="shared" si="6"/>
        <v>2.16</v>
      </c>
      <c r="F24" s="2">
        <v>1200</v>
      </c>
      <c r="G24" s="2" t="s">
        <v>12</v>
      </c>
      <c r="H24" s="2" t="s">
        <v>69</v>
      </c>
      <c r="I24" s="38" t="str">
        <f t="shared" si="1"/>
        <v>*erbar07*</v>
      </c>
      <c r="J24" s="23" t="s">
        <v>13</v>
      </c>
      <c r="K24" s="19">
        <f t="shared" si="2"/>
        <v>27</v>
      </c>
    </row>
    <row r="25" spans="1:12" ht="101.25" x14ac:dyDescent="0.25">
      <c r="A25" s="29" t="s">
        <v>10</v>
      </c>
      <c r="B25" s="18" t="s">
        <v>161</v>
      </c>
      <c r="C25" s="17" t="s">
        <v>160</v>
      </c>
      <c r="D25" s="2">
        <v>3</v>
      </c>
      <c r="E25" s="22">
        <f t="shared" si="6"/>
        <v>2.16</v>
      </c>
      <c r="F25" s="2">
        <v>1200</v>
      </c>
      <c r="G25" s="2" t="s">
        <v>12</v>
      </c>
      <c r="H25" s="2" t="s">
        <v>69</v>
      </c>
      <c r="I25" s="38" t="str">
        <f t="shared" si="1"/>
        <v>*erbar08*</v>
      </c>
      <c r="J25" s="23" t="s">
        <v>13</v>
      </c>
      <c r="K25" s="19">
        <f t="shared" si="2"/>
        <v>27</v>
      </c>
    </row>
    <row r="26" spans="1:12" ht="101.25" x14ac:dyDescent="0.25">
      <c r="A26" s="29" t="s">
        <v>10</v>
      </c>
      <c r="B26" s="18" t="s">
        <v>163</v>
      </c>
      <c r="C26" s="17" t="s">
        <v>162</v>
      </c>
      <c r="D26" s="2">
        <v>6</v>
      </c>
      <c r="E26" s="22">
        <f t="shared" si="6"/>
        <v>0.18000000000000002</v>
      </c>
      <c r="F26" s="2">
        <v>100</v>
      </c>
      <c r="G26" s="2" t="s">
        <v>12</v>
      </c>
      <c r="H26" s="2" t="s">
        <v>69</v>
      </c>
      <c r="I26" s="38" t="str">
        <f t="shared" si="1"/>
        <v>*erbar09*</v>
      </c>
      <c r="J26" s="23" t="s">
        <v>13</v>
      </c>
      <c r="K26" s="19">
        <f t="shared" si="2"/>
        <v>4.5000000000000009</v>
      </c>
    </row>
    <row r="27" spans="1:12" ht="101.25" x14ac:dyDescent="0.25">
      <c r="A27" s="29" t="s">
        <v>10</v>
      </c>
      <c r="B27" s="18" t="s">
        <v>165</v>
      </c>
      <c r="C27" s="17" t="s">
        <v>164</v>
      </c>
      <c r="D27" s="2">
        <v>6</v>
      </c>
      <c r="E27" s="22">
        <f t="shared" si="6"/>
        <v>0.54</v>
      </c>
      <c r="F27" s="2">
        <v>300</v>
      </c>
      <c r="G27" s="2" t="s">
        <v>12</v>
      </c>
      <c r="H27" s="2" t="s">
        <v>69</v>
      </c>
      <c r="I27" s="38" t="str">
        <f t="shared" si="1"/>
        <v>*erbar10*</v>
      </c>
      <c r="J27" s="23" t="s">
        <v>13</v>
      </c>
      <c r="K27" s="19">
        <f t="shared" si="2"/>
        <v>13.5</v>
      </c>
    </row>
    <row r="28" spans="1:12" ht="102" thickBot="1" x14ac:dyDescent="0.3">
      <c r="A28" s="29" t="s">
        <v>10</v>
      </c>
      <c r="B28" s="18" t="s">
        <v>167</v>
      </c>
      <c r="C28" s="17" t="s">
        <v>166</v>
      </c>
      <c r="D28" s="2">
        <v>3</v>
      </c>
      <c r="E28" s="22">
        <f t="shared" si="6"/>
        <v>0</v>
      </c>
      <c r="F28" s="2"/>
      <c r="G28" s="2" t="s">
        <v>12</v>
      </c>
      <c r="H28" s="2" t="s">
        <v>69</v>
      </c>
      <c r="I28" s="38" t="str">
        <f t="shared" si="1"/>
        <v>*erbar11*</v>
      </c>
      <c r="J28" s="51" t="s">
        <v>280</v>
      </c>
      <c r="K28" s="19">
        <f t="shared" si="2"/>
        <v>0</v>
      </c>
    </row>
    <row r="29" spans="1:12" ht="102" thickBot="1" x14ac:dyDescent="0.3">
      <c r="A29" s="29" t="s">
        <v>10</v>
      </c>
      <c r="B29" s="18" t="s">
        <v>169</v>
      </c>
      <c r="C29" s="17" t="s">
        <v>168</v>
      </c>
      <c r="D29" s="2">
        <v>3</v>
      </c>
      <c r="E29" s="22">
        <f t="shared" si="6"/>
        <v>0</v>
      </c>
      <c r="F29" s="2"/>
      <c r="G29" s="2" t="s">
        <v>12</v>
      </c>
      <c r="H29" s="2" t="s">
        <v>69</v>
      </c>
      <c r="I29" s="38" t="str">
        <f t="shared" si="1"/>
        <v>*erbar12*</v>
      </c>
      <c r="J29" s="51" t="s">
        <v>280</v>
      </c>
      <c r="K29" s="19">
        <f t="shared" si="2"/>
        <v>0</v>
      </c>
    </row>
    <row r="30" spans="1:12" ht="102" thickBot="1" x14ac:dyDescent="0.3">
      <c r="A30" s="29" t="s">
        <v>10</v>
      </c>
      <c r="B30" s="18" t="s">
        <v>171</v>
      </c>
      <c r="C30" s="17" t="s">
        <v>170</v>
      </c>
      <c r="D30" s="2">
        <v>3</v>
      </c>
      <c r="E30" s="22">
        <f t="shared" si="6"/>
        <v>0</v>
      </c>
      <c r="F30" s="2"/>
      <c r="G30" s="2" t="s">
        <v>12</v>
      </c>
      <c r="H30" s="2" t="s">
        <v>69</v>
      </c>
      <c r="I30" s="38" t="str">
        <f t="shared" si="1"/>
        <v>*erbar13*</v>
      </c>
      <c r="J30" s="51" t="s">
        <v>280</v>
      </c>
      <c r="K30" s="19">
        <f t="shared" si="2"/>
        <v>0</v>
      </c>
    </row>
    <row r="31" spans="1:12" ht="102" thickBot="1" x14ac:dyDescent="0.3">
      <c r="A31" s="29" t="s">
        <v>10</v>
      </c>
      <c r="B31" s="18" t="s">
        <v>173</v>
      </c>
      <c r="C31" s="17" t="s">
        <v>172</v>
      </c>
      <c r="D31" s="2">
        <v>3</v>
      </c>
      <c r="E31" s="22">
        <f t="shared" si="6"/>
        <v>0</v>
      </c>
      <c r="F31" s="2"/>
      <c r="G31" s="2" t="s">
        <v>12</v>
      </c>
      <c r="H31" s="2" t="s">
        <v>69</v>
      </c>
      <c r="I31" s="38" t="str">
        <f t="shared" si="1"/>
        <v>*erbar14*</v>
      </c>
      <c r="J31" s="51" t="s">
        <v>280</v>
      </c>
      <c r="K31" s="19">
        <f t="shared" si="2"/>
        <v>0</v>
      </c>
    </row>
    <row r="32" spans="1:12" ht="102" thickBot="1" x14ac:dyDescent="0.3">
      <c r="A32" s="29" t="s">
        <v>10</v>
      </c>
      <c r="B32" s="18" t="s">
        <v>175</v>
      </c>
      <c r="C32" s="17" t="s">
        <v>174</v>
      </c>
      <c r="D32" s="2">
        <v>3</v>
      </c>
      <c r="E32" s="22">
        <f t="shared" si="6"/>
        <v>0</v>
      </c>
      <c r="F32" s="2"/>
      <c r="G32" s="2" t="s">
        <v>12</v>
      </c>
      <c r="H32" s="2" t="s">
        <v>69</v>
      </c>
      <c r="I32" s="38" t="str">
        <f t="shared" si="1"/>
        <v>*erbar15*</v>
      </c>
      <c r="J32" s="51" t="s">
        <v>280</v>
      </c>
      <c r="K32" s="19">
        <f t="shared" si="2"/>
        <v>0</v>
      </c>
    </row>
    <row r="33" spans="1:11" ht="102" thickBot="1" x14ac:dyDescent="0.3">
      <c r="A33" s="30" t="s">
        <v>10</v>
      </c>
      <c r="B33" s="26" t="s">
        <v>177</v>
      </c>
      <c r="C33" s="25" t="s">
        <v>176</v>
      </c>
      <c r="D33" s="27">
        <v>3</v>
      </c>
      <c r="E33" s="22">
        <f t="shared" si="6"/>
        <v>0</v>
      </c>
      <c r="F33" s="27"/>
      <c r="G33" s="27" t="s">
        <v>74</v>
      </c>
      <c r="H33" s="27" t="s">
        <v>69</v>
      </c>
      <c r="I33" s="40" t="str">
        <f t="shared" si="1"/>
        <v>*erbar16*</v>
      </c>
      <c r="J33" s="51" t="s">
        <v>280</v>
      </c>
      <c r="K33" s="19">
        <f t="shared" si="2"/>
        <v>0</v>
      </c>
    </row>
    <row r="34" spans="1:11" ht="102" thickBot="1" x14ac:dyDescent="0.3">
      <c r="A34" s="30" t="s">
        <v>10</v>
      </c>
      <c r="B34" s="21" t="s">
        <v>94</v>
      </c>
      <c r="C34" s="20" t="s">
        <v>93</v>
      </c>
      <c r="D34" s="22">
        <v>16</v>
      </c>
      <c r="E34" s="2">
        <f>(F34/1000)*1.8</f>
        <v>1.8</v>
      </c>
      <c r="F34" s="22">
        <v>1000</v>
      </c>
      <c r="G34" s="22" t="s">
        <v>12</v>
      </c>
      <c r="H34" s="22" t="s">
        <v>105</v>
      </c>
      <c r="I34" s="39" t="str">
        <f t="shared" si="1"/>
        <v>*erbot01*</v>
      </c>
      <c r="J34" s="23" t="s">
        <v>13</v>
      </c>
      <c r="K34" s="19">
        <f t="shared" si="2"/>
        <v>120</v>
      </c>
    </row>
    <row r="35" spans="1:11" ht="102" thickBot="1" x14ac:dyDescent="0.3">
      <c r="A35" s="30" t="s">
        <v>10</v>
      </c>
      <c r="B35" s="21" t="s">
        <v>98</v>
      </c>
      <c r="C35" s="20" t="s">
        <v>95</v>
      </c>
      <c r="D35" s="22">
        <v>16</v>
      </c>
      <c r="E35" s="2">
        <f t="shared" ref="E35:E40" si="7">(F35/1000)*1.8</f>
        <v>0.9</v>
      </c>
      <c r="F35" s="22">
        <v>500</v>
      </c>
      <c r="G35" s="22" t="s">
        <v>12</v>
      </c>
      <c r="H35" s="22" t="s">
        <v>105</v>
      </c>
      <c r="I35" s="39" t="str">
        <f t="shared" si="1"/>
        <v>*erbot02*</v>
      </c>
      <c r="J35" s="23" t="s">
        <v>13</v>
      </c>
      <c r="K35" s="19">
        <f>((((F35/1000)*D35)*2.5)*2)*1.5</f>
        <v>60</v>
      </c>
    </row>
    <row r="36" spans="1:11" ht="102" thickBot="1" x14ac:dyDescent="0.3">
      <c r="A36" s="30" t="s">
        <v>10</v>
      </c>
      <c r="B36" s="21" t="s">
        <v>99</v>
      </c>
      <c r="C36" s="20" t="s">
        <v>96</v>
      </c>
      <c r="D36" s="22">
        <v>32</v>
      </c>
      <c r="E36" s="2">
        <f t="shared" si="7"/>
        <v>0.16200000000000001</v>
      </c>
      <c r="F36" s="22">
        <v>90</v>
      </c>
      <c r="G36" s="22" t="s">
        <v>12</v>
      </c>
      <c r="H36" s="22" t="s">
        <v>105</v>
      </c>
      <c r="I36" s="39" t="str">
        <f t="shared" si="1"/>
        <v>*erbot03*</v>
      </c>
      <c r="J36" s="23" t="s">
        <v>13</v>
      </c>
      <c r="K36" s="19">
        <f t="shared" ref="K36:K45" si="8">((((F36/1000)*D36)*2.5)*2)*1.5</f>
        <v>21.599999999999998</v>
      </c>
    </row>
    <row r="37" spans="1:11" ht="102" thickBot="1" x14ac:dyDescent="0.3">
      <c r="A37" s="30" t="s">
        <v>10</v>
      </c>
      <c r="B37" s="21" t="s">
        <v>100</v>
      </c>
      <c r="C37" s="20" t="s">
        <v>97</v>
      </c>
      <c r="D37" s="22">
        <v>32</v>
      </c>
      <c r="E37" s="2">
        <f t="shared" si="7"/>
        <v>0.216</v>
      </c>
      <c r="F37" s="22">
        <v>120</v>
      </c>
      <c r="G37" s="22" t="s">
        <v>12</v>
      </c>
      <c r="H37" s="22" t="s">
        <v>105</v>
      </c>
      <c r="I37" s="39" t="str">
        <f t="shared" si="1"/>
        <v>*erbot04*</v>
      </c>
      <c r="J37" s="23" t="s">
        <v>13</v>
      </c>
      <c r="K37" s="19">
        <f t="shared" si="8"/>
        <v>28.799999999999997</v>
      </c>
    </row>
    <row r="38" spans="1:11" ht="102" thickBot="1" x14ac:dyDescent="0.3">
      <c r="A38" s="30" t="s">
        <v>10</v>
      </c>
      <c r="B38" s="21" t="s">
        <v>102</v>
      </c>
      <c r="C38" s="20" t="s">
        <v>101</v>
      </c>
      <c r="D38" s="22">
        <v>16</v>
      </c>
      <c r="E38" s="2">
        <f t="shared" si="7"/>
        <v>1.1700000000000002</v>
      </c>
      <c r="F38" s="22">
        <v>650</v>
      </c>
      <c r="G38" s="22" t="s">
        <v>12</v>
      </c>
      <c r="H38" s="22" t="s">
        <v>105</v>
      </c>
      <c r="I38" s="39" t="str">
        <f t="shared" si="1"/>
        <v>*erbot05*</v>
      </c>
      <c r="J38" s="23" t="s">
        <v>13</v>
      </c>
      <c r="K38" s="19">
        <f t="shared" si="8"/>
        <v>78</v>
      </c>
    </row>
    <row r="39" spans="1:11" ht="102" thickBot="1" x14ac:dyDescent="0.3">
      <c r="A39" s="30" t="s">
        <v>10</v>
      </c>
      <c r="B39" s="21" t="s">
        <v>103</v>
      </c>
      <c r="C39" s="20" t="s">
        <v>104</v>
      </c>
      <c r="D39" s="22">
        <v>16</v>
      </c>
      <c r="E39" s="2">
        <f t="shared" si="7"/>
        <v>1.1700000000000002</v>
      </c>
      <c r="F39" s="22">
        <v>650</v>
      </c>
      <c r="G39" s="22" t="s">
        <v>12</v>
      </c>
      <c r="H39" s="22" t="s">
        <v>105</v>
      </c>
      <c r="I39" s="39" t="str">
        <f t="shared" si="1"/>
        <v>*erbot06*</v>
      </c>
      <c r="J39" s="23" t="s">
        <v>13</v>
      </c>
      <c r="K39" s="19">
        <f t="shared" si="8"/>
        <v>78</v>
      </c>
    </row>
    <row r="40" spans="1:11" ht="102" thickBot="1" x14ac:dyDescent="0.3">
      <c r="A40" s="30" t="s">
        <v>10</v>
      </c>
      <c r="B40" s="21" t="s">
        <v>112</v>
      </c>
      <c r="C40" s="20" t="s">
        <v>113</v>
      </c>
      <c r="D40" s="22">
        <v>4</v>
      </c>
      <c r="E40" s="2">
        <f t="shared" si="7"/>
        <v>0.9</v>
      </c>
      <c r="F40" s="22">
        <v>500</v>
      </c>
      <c r="G40" s="22" t="s">
        <v>12</v>
      </c>
      <c r="H40" s="22" t="s">
        <v>105</v>
      </c>
      <c r="I40" s="39" t="str">
        <f t="shared" si="1"/>
        <v>*erbot07*</v>
      </c>
      <c r="J40" s="23" t="s">
        <v>13</v>
      </c>
      <c r="K40" s="19">
        <f t="shared" si="8"/>
        <v>15</v>
      </c>
    </row>
    <row r="41" spans="1:11" ht="102" thickBot="1" x14ac:dyDescent="0.3">
      <c r="A41" s="30" t="s">
        <v>10</v>
      </c>
      <c r="B41" s="21" t="s">
        <v>114</v>
      </c>
      <c r="C41" s="20" t="s">
        <v>115</v>
      </c>
      <c r="D41" s="22">
        <v>6</v>
      </c>
      <c r="E41" s="22">
        <f>(F41/1000)*1.2</f>
        <v>0.6</v>
      </c>
      <c r="F41" s="22">
        <v>500</v>
      </c>
      <c r="G41" s="22" t="s">
        <v>12</v>
      </c>
      <c r="H41" s="22" t="s">
        <v>105</v>
      </c>
      <c r="I41" s="39" t="str">
        <f t="shared" si="1"/>
        <v>*erbot08*</v>
      </c>
      <c r="J41" s="23" t="s">
        <v>13</v>
      </c>
      <c r="K41" s="19">
        <f t="shared" si="8"/>
        <v>22.5</v>
      </c>
    </row>
    <row r="42" spans="1:11" ht="102" thickBot="1" x14ac:dyDescent="0.3">
      <c r="A42" s="30" t="s">
        <v>10</v>
      </c>
      <c r="B42" s="21" t="s">
        <v>118</v>
      </c>
      <c r="C42" s="20" t="s">
        <v>119</v>
      </c>
      <c r="D42" s="22">
        <v>6</v>
      </c>
      <c r="E42" s="22">
        <f>(F42/1000)*1.2</f>
        <v>0.06</v>
      </c>
      <c r="F42" s="22">
        <v>50</v>
      </c>
      <c r="G42" s="22" t="s">
        <v>12</v>
      </c>
      <c r="H42" s="22" t="s">
        <v>105</v>
      </c>
      <c r="I42" s="39" t="str">
        <f t="shared" si="1"/>
        <v>*erbot09*</v>
      </c>
      <c r="J42" s="23" t="s">
        <v>13</v>
      </c>
      <c r="K42" s="19">
        <f t="shared" si="8"/>
        <v>2.2500000000000004</v>
      </c>
    </row>
    <row r="43" spans="1:11" ht="102" thickBot="1" x14ac:dyDescent="0.3">
      <c r="A43" s="30" t="s">
        <v>10</v>
      </c>
      <c r="B43" s="21" t="s">
        <v>120</v>
      </c>
      <c r="C43" s="20" t="s">
        <v>121</v>
      </c>
      <c r="D43" s="22">
        <v>6</v>
      </c>
      <c r="E43" s="22"/>
      <c r="F43" s="22">
        <v>300</v>
      </c>
      <c r="G43" s="22" t="s">
        <v>12</v>
      </c>
      <c r="H43" s="22" t="s">
        <v>105</v>
      </c>
      <c r="I43" s="39" t="str">
        <f t="shared" si="1"/>
        <v>*erbot10*</v>
      </c>
      <c r="J43" s="23" t="s">
        <v>13</v>
      </c>
      <c r="K43" s="19">
        <f t="shared" si="8"/>
        <v>13.5</v>
      </c>
    </row>
    <row r="44" spans="1:11" ht="102" thickBot="1" x14ac:dyDescent="0.3">
      <c r="A44" s="30" t="s">
        <v>125</v>
      </c>
      <c r="B44" s="21" t="s">
        <v>126</v>
      </c>
      <c r="C44" s="20" t="s">
        <v>127</v>
      </c>
      <c r="D44" s="22">
        <v>24</v>
      </c>
      <c r="E44" s="22"/>
      <c r="F44" s="22">
        <v>150</v>
      </c>
      <c r="G44" s="22" t="s">
        <v>12</v>
      </c>
      <c r="H44" s="22" t="s">
        <v>105</v>
      </c>
      <c r="I44" s="39" t="str">
        <f t="shared" si="1"/>
        <v>*erbot11*</v>
      </c>
      <c r="J44" s="23" t="s">
        <v>13</v>
      </c>
      <c r="K44" s="19">
        <f t="shared" si="8"/>
        <v>27</v>
      </c>
    </row>
    <row r="45" spans="1:11" ht="102" thickBot="1" x14ac:dyDescent="0.3">
      <c r="A45" s="30" t="s">
        <v>125</v>
      </c>
      <c r="B45" s="21" t="s">
        <v>129</v>
      </c>
      <c r="C45" s="20" t="s">
        <v>130</v>
      </c>
      <c r="D45" s="22">
        <v>18</v>
      </c>
      <c r="E45" s="22"/>
      <c r="F45" s="22">
        <v>120</v>
      </c>
      <c r="G45" s="22" t="s">
        <v>12</v>
      </c>
      <c r="H45" s="22" t="s">
        <v>105</v>
      </c>
      <c r="I45" s="39" t="str">
        <f t="shared" si="1"/>
        <v>*erbot12*</v>
      </c>
      <c r="J45" s="23" t="s">
        <v>13</v>
      </c>
      <c r="K45" s="19">
        <f t="shared" si="8"/>
        <v>16.200000000000003</v>
      </c>
    </row>
    <row r="46" spans="1:11" ht="102" thickBot="1" x14ac:dyDescent="0.3">
      <c r="A46" s="30" t="s">
        <v>125</v>
      </c>
      <c r="B46" s="45" t="s">
        <v>132</v>
      </c>
      <c r="C46" s="46" t="s">
        <v>133</v>
      </c>
      <c r="D46" s="47">
        <v>80</v>
      </c>
      <c r="E46" s="47"/>
      <c r="F46" s="47">
        <v>300</v>
      </c>
      <c r="G46" s="47" t="s">
        <v>12</v>
      </c>
      <c r="H46" s="47" t="s">
        <v>105</v>
      </c>
      <c r="I46" s="48" t="str">
        <f t="shared" si="1"/>
        <v>*erbot13*</v>
      </c>
      <c r="J46" s="49" t="s">
        <v>27</v>
      </c>
      <c r="K46" s="28">
        <f>((((F46/1000)*D46)*1.2)*2)*1.5</f>
        <v>86.399999999999991</v>
      </c>
    </row>
    <row r="47" spans="1:11" ht="102" thickBot="1" x14ac:dyDescent="0.3">
      <c r="A47" s="44" t="s">
        <v>125</v>
      </c>
      <c r="B47" s="21" t="s">
        <v>136</v>
      </c>
      <c r="C47" s="20" t="s">
        <v>137</v>
      </c>
      <c r="D47" s="22">
        <v>8</v>
      </c>
      <c r="E47" s="22"/>
      <c r="F47" s="22">
        <v>900</v>
      </c>
      <c r="G47" s="22" t="s">
        <v>12</v>
      </c>
      <c r="H47" s="22" t="s">
        <v>145</v>
      </c>
      <c r="I47" s="39" t="str">
        <f t="shared" si="1"/>
        <v>*erbic01*</v>
      </c>
      <c r="J47" s="23" t="s">
        <v>13</v>
      </c>
      <c r="K47" s="24">
        <f>((((F47/1000)*D47)*1.2)*2)*1.5</f>
        <v>25.92</v>
      </c>
    </row>
    <row r="48" spans="1:11" ht="102" thickBot="1" x14ac:dyDescent="0.3">
      <c r="A48" s="44" t="s">
        <v>125</v>
      </c>
      <c r="B48" s="21" t="s">
        <v>138</v>
      </c>
      <c r="C48" s="20" t="s">
        <v>139</v>
      </c>
      <c r="D48" s="22">
        <v>8</v>
      </c>
      <c r="E48" s="22"/>
      <c r="F48" s="22">
        <v>200</v>
      </c>
      <c r="G48" s="22" t="s">
        <v>12</v>
      </c>
      <c r="H48" s="22" t="s">
        <v>145</v>
      </c>
      <c r="I48" s="39" t="str">
        <f t="shared" si="1"/>
        <v>*erbic02*</v>
      </c>
      <c r="J48" s="23" t="s">
        <v>13</v>
      </c>
      <c r="K48" s="24">
        <f>((((F48/1000)*D48)*1.2)*2)*1.5</f>
        <v>5.76</v>
      </c>
    </row>
    <row r="49" spans="1:12" ht="102" thickBot="1" x14ac:dyDescent="0.3">
      <c r="A49" s="44" t="s">
        <v>125</v>
      </c>
      <c r="B49" s="45" t="s">
        <v>142</v>
      </c>
      <c r="C49" s="46" t="s">
        <v>143</v>
      </c>
      <c r="D49" s="47">
        <v>16</v>
      </c>
      <c r="E49" s="47"/>
      <c r="F49" s="47">
        <v>50</v>
      </c>
      <c r="G49" s="47" t="s">
        <v>12</v>
      </c>
      <c r="H49" s="47" t="s">
        <v>145</v>
      </c>
      <c r="I49" s="48" t="str">
        <f t="shared" si="1"/>
        <v>*erbic03*</v>
      </c>
      <c r="J49" s="23" t="s">
        <v>13</v>
      </c>
      <c r="K49" s="50">
        <f>((((F49/1000)*D49)*1.2)*2)*1.5</f>
        <v>2.88</v>
      </c>
    </row>
    <row r="50" spans="1:12" ht="102" thickBot="1" x14ac:dyDescent="0.3">
      <c r="A50" s="44" t="s">
        <v>10</v>
      </c>
      <c r="B50" s="21" t="s">
        <v>182</v>
      </c>
      <c r="C50" s="20" t="s">
        <v>181</v>
      </c>
      <c r="D50" s="22">
        <v>4</v>
      </c>
      <c r="E50" s="22"/>
      <c r="F50" s="22">
        <v>800</v>
      </c>
      <c r="G50" s="47" t="s">
        <v>12</v>
      </c>
      <c r="H50" s="22" t="s">
        <v>180</v>
      </c>
      <c r="I50" s="48" t="str">
        <f t="shared" si="1"/>
        <v>*erfri01*</v>
      </c>
      <c r="J50" s="23" t="s">
        <v>13</v>
      </c>
      <c r="K50" s="50">
        <f t="shared" ref="K50:K66" si="9">((((F50/1000)*D50)*1.2)*2)*1.5</f>
        <v>11.52</v>
      </c>
    </row>
    <row r="51" spans="1:12" ht="102" thickBot="1" x14ac:dyDescent="0.3">
      <c r="A51" s="44" t="s">
        <v>10</v>
      </c>
      <c r="B51" s="21" t="s">
        <v>184</v>
      </c>
      <c r="C51" s="20" t="s">
        <v>183</v>
      </c>
      <c r="D51" s="22">
        <v>4</v>
      </c>
      <c r="E51" s="22"/>
      <c r="F51" s="22">
        <v>800</v>
      </c>
      <c r="G51" s="47" t="s">
        <v>12</v>
      </c>
      <c r="H51" s="22" t="s">
        <v>180</v>
      </c>
      <c r="I51" s="48" t="str">
        <f t="shared" si="1"/>
        <v>*erfri02*</v>
      </c>
      <c r="J51" s="23" t="s">
        <v>13</v>
      </c>
      <c r="K51" s="50">
        <f t="shared" si="9"/>
        <v>11.52</v>
      </c>
    </row>
    <row r="52" spans="1:12" ht="102" thickBot="1" x14ac:dyDescent="0.3">
      <c r="A52" s="44" t="s">
        <v>10</v>
      </c>
      <c r="B52" s="21" t="s">
        <v>186</v>
      </c>
      <c r="C52" s="20" t="s">
        <v>185</v>
      </c>
      <c r="D52" s="22">
        <v>8</v>
      </c>
      <c r="E52" s="22"/>
      <c r="F52" s="22">
        <v>800</v>
      </c>
      <c r="G52" s="47" t="s">
        <v>12</v>
      </c>
      <c r="H52" s="22" t="s">
        <v>180</v>
      </c>
      <c r="I52" s="48" t="str">
        <f t="shared" si="1"/>
        <v>*erfri03*</v>
      </c>
      <c r="J52" s="23" t="s">
        <v>13</v>
      </c>
      <c r="K52" s="50">
        <f t="shared" si="9"/>
        <v>23.04</v>
      </c>
    </row>
    <row r="53" spans="1:12" ht="102" thickBot="1" x14ac:dyDescent="0.3">
      <c r="A53" s="44" t="s">
        <v>10</v>
      </c>
      <c r="B53" s="21" t="s">
        <v>188</v>
      </c>
      <c r="C53" s="20" t="s">
        <v>187</v>
      </c>
      <c r="D53" s="22">
        <v>4</v>
      </c>
      <c r="E53" s="22"/>
      <c r="F53" s="22">
        <v>800</v>
      </c>
      <c r="G53" s="47" t="s">
        <v>12</v>
      </c>
      <c r="H53" s="22" t="s">
        <v>180</v>
      </c>
      <c r="I53" s="48" t="str">
        <f t="shared" si="1"/>
        <v>*erfri04*</v>
      </c>
      <c r="J53" s="23" t="s">
        <v>13</v>
      </c>
      <c r="K53" s="50">
        <f t="shared" si="9"/>
        <v>11.52</v>
      </c>
    </row>
    <row r="54" spans="1:12" ht="102" thickBot="1" x14ac:dyDescent="0.3">
      <c r="A54" s="44" t="s">
        <v>10</v>
      </c>
      <c r="B54" s="21" t="s">
        <v>190</v>
      </c>
      <c r="C54" s="20" t="s">
        <v>189</v>
      </c>
      <c r="D54" s="22">
        <v>4</v>
      </c>
      <c r="E54" s="22"/>
      <c r="F54" s="22">
        <v>2200</v>
      </c>
      <c r="G54" s="47" t="s">
        <v>12</v>
      </c>
      <c r="H54" s="22" t="s">
        <v>180</v>
      </c>
      <c r="I54" s="48" t="str">
        <f t="shared" si="1"/>
        <v>*erfri05*</v>
      </c>
      <c r="J54" s="23" t="s">
        <v>13</v>
      </c>
      <c r="K54" s="50">
        <f t="shared" si="9"/>
        <v>31.68</v>
      </c>
    </row>
    <row r="55" spans="1:12" ht="102" thickBot="1" x14ac:dyDescent="0.3">
      <c r="A55" s="44" t="s">
        <v>10</v>
      </c>
      <c r="B55" s="21" t="s">
        <v>192</v>
      </c>
      <c r="C55" s="20" t="s">
        <v>191</v>
      </c>
      <c r="D55" s="22">
        <v>2</v>
      </c>
      <c r="E55" s="22"/>
      <c r="F55" s="22">
        <v>2200</v>
      </c>
      <c r="G55" s="47" t="s">
        <v>12</v>
      </c>
      <c r="H55" s="22" t="s">
        <v>180</v>
      </c>
      <c r="I55" s="48" t="str">
        <f t="shared" si="1"/>
        <v>*erfri06*</v>
      </c>
      <c r="J55" s="23" t="s">
        <v>13</v>
      </c>
      <c r="K55" s="50">
        <f t="shared" si="9"/>
        <v>15.84</v>
      </c>
    </row>
    <row r="56" spans="1:12" ht="102" thickBot="1" x14ac:dyDescent="0.3">
      <c r="A56" s="44" t="s">
        <v>10</v>
      </c>
      <c r="B56" s="21" t="s">
        <v>194</v>
      </c>
      <c r="C56" s="20" t="s">
        <v>193</v>
      </c>
      <c r="D56" s="22">
        <v>2</v>
      </c>
      <c r="E56" s="22"/>
      <c r="F56" s="22">
        <v>2200</v>
      </c>
      <c r="G56" s="47" t="s">
        <v>12</v>
      </c>
      <c r="H56" s="22" t="s">
        <v>180</v>
      </c>
      <c r="I56" s="48" t="str">
        <f t="shared" si="1"/>
        <v>*erfri07*</v>
      </c>
      <c r="J56" s="23" t="s">
        <v>13</v>
      </c>
      <c r="K56" s="50">
        <f t="shared" si="9"/>
        <v>15.84</v>
      </c>
    </row>
    <row r="57" spans="1:12" ht="102" thickBot="1" x14ac:dyDescent="0.3">
      <c r="A57" s="44" t="s">
        <v>10</v>
      </c>
      <c r="B57" s="21" t="s">
        <v>196</v>
      </c>
      <c r="C57" s="20" t="s">
        <v>195</v>
      </c>
      <c r="D57" s="22">
        <v>4</v>
      </c>
      <c r="E57" s="22"/>
      <c r="F57" s="22">
        <v>800</v>
      </c>
      <c r="G57" s="47" t="s">
        <v>12</v>
      </c>
      <c r="H57" s="22" t="s">
        <v>180</v>
      </c>
      <c r="I57" s="48" t="str">
        <f t="shared" si="1"/>
        <v>*erfri08*</v>
      </c>
      <c r="J57" s="23" t="s">
        <v>13</v>
      </c>
      <c r="K57" s="50">
        <f t="shared" si="9"/>
        <v>11.52</v>
      </c>
    </row>
    <row r="58" spans="1:12" ht="102" thickBot="1" x14ac:dyDescent="0.3">
      <c r="A58" s="44" t="s">
        <v>10</v>
      </c>
      <c r="B58" s="21" t="s">
        <v>198</v>
      </c>
      <c r="C58" s="20" t="s">
        <v>197</v>
      </c>
      <c r="D58" s="22">
        <v>2</v>
      </c>
      <c r="E58" s="22"/>
      <c r="F58" s="22">
        <v>800</v>
      </c>
      <c r="G58" s="47" t="s">
        <v>12</v>
      </c>
      <c r="H58" s="22" t="s">
        <v>180</v>
      </c>
      <c r="I58" s="48" t="str">
        <f t="shared" si="1"/>
        <v>*erfri09*</v>
      </c>
      <c r="J58" s="23" t="s">
        <v>13</v>
      </c>
      <c r="K58" s="24">
        <f t="shared" si="9"/>
        <v>5.76</v>
      </c>
    </row>
    <row r="59" spans="1:12" ht="102" thickBot="1" x14ac:dyDescent="0.3">
      <c r="A59" s="44" t="s">
        <v>10</v>
      </c>
      <c r="B59" s="21" t="s">
        <v>210</v>
      </c>
      <c r="C59" s="20" t="s">
        <v>209</v>
      </c>
      <c r="D59" s="22">
        <v>4</v>
      </c>
      <c r="E59" s="22"/>
      <c r="F59" s="22">
        <v>800</v>
      </c>
      <c r="G59" s="47" t="s">
        <v>12</v>
      </c>
      <c r="H59" s="22" t="s">
        <v>180</v>
      </c>
      <c r="I59" s="48" t="str">
        <f t="shared" si="1"/>
        <v>*erfri10*</v>
      </c>
      <c r="J59" s="23" t="s">
        <v>13</v>
      </c>
      <c r="K59" s="24">
        <f t="shared" si="9"/>
        <v>11.52</v>
      </c>
    </row>
    <row r="60" spans="1:12" ht="102" thickBot="1" x14ac:dyDescent="0.3">
      <c r="A60" s="44" t="s">
        <v>10</v>
      </c>
      <c r="B60" s="21" t="s">
        <v>212</v>
      </c>
      <c r="C60" s="20" t="s">
        <v>211</v>
      </c>
      <c r="D60" s="22">
        <v>4</v>
      </c>
      <c r="E60" s="22"/>
      <c r="F60" s="22">
        <v>2200</v>
      </c>
      <c r="G60" s="47" t="s">
        <v>12</v>
      </c>
      <c r="H60" s="22" t="s">
        <v>180</v>
      </c>
      <c r="I60" s="48" t="str">
        <f t="shared" si="1"/>
        <v>*erfri11*</v>
      </c>
      <c r="J60" s="23" t="s">
        <v>13</v>
      </c>
      <c r="K60" s="24">
        <f t="shared" si="9"/>
        <v>31.68</v>
      </c>
    </row>
    <row r="61" spans="1:12" ht="102" thickBot="1" x14ac:dyDescent="0.3">
      <c r="A61" s="44" t="s">
        <v>10</v>
      </c>
      <c r="B61" s="21" t="s">
        <v>216</v>
      </c>
      <c r="C61" s="20" t="s">
        <v>215</v>
      </c>
      <c r="D61" s="22">
        <v>2</v>
      </c>
      <c r="E61" s="22"/>
      <c r="F61" s="22">
        <v>800</v>
      </c>
      <c r="G61" s="47" t="s">
        <v>12</v>
      </c>
      <c r="H61" s="22" t="s">
        <v>180</v>
      </c>
      <c r="I61" s="48" t="str">
        <f t="shared" si="1"/>
        <v>*erfri12*</v>
      </c>
      <c r="J61" s="23" t="s">
        <v>13</v>
      </c>
      <c r="K61" s="24">
        <f t="shared" si="9"/>
        <v>5.76</v>
      </c>
    </row>
    <row r="62" spans="1:12" ht="102" thickBot="1" x14ac:dyDescent="0.3">
      <c r="A62" s="44" t="s">
        <v>10</v>
      </c>
      <c r="B62" s="21" t="s">
        <v>221</v>
      </c>
      <c r="C62" s="20" t="s">
        <v>220</v>
      </c>
      <c r="D62" s="22">
        <v>9</v>
      </c>
      <c r="E62" s="22"/>
      <c r="F62" s="22">
        <v>2200</v>
      </c>
      <c r="G62" s="47" t="s">
        <v>12</v>
      </c>
      <c r="H62" s="22" t="s">
        <v>180</v>
      </c>
      <c r="I62" s="48" t="str">
        <f t="shared" si="1"/>
        <v>*erfri13*</v>
      </c>
      <c r="J62" s="49" t="s">
        <v>27</v>
      </c>
      <c r="K62" s="24">
        <f t="shared" si="9"/>
        <v>71.28</v>
      </c>
    </row>
    <row r="63" spans="1:12" ht="102" thickBot="1" x14ac:dyDescent="0.3">
      <c r="A63" s="44" t="s">
        <v>10</v>
      </c>
      <c r="B63" s="21" t="s">
        <v>224</v>
      </c>
      <c r="C63" s="20" t="s">
        <v>223</v>
      </c>
      <c r="D63" s="22">
        <v>3</v>
      </c>
      <c r="E63" s="22"/>
      <c r="F63" s="22">
        <v>1000</v>
      </c>
      <c r="G63" s="47" t="s">
        <v>12</v>
      </c>
      <c r="H63" s="22" t="s">
        <v>225</v>
      </c>
      <c r="I63" s="48" t="str">
        <f t="shared" si="1"/>
        <v>*erpal01*</v>
      </c>
      <c r="J63" s="23" t="s">
        <v>13</v>
      </c>
      <c r="K63" s="24">
        <f t="shared" si="9"/>
        <v>10.799999999999999</v>
      </c>
      <c r="L63" t="s">
        <v>222</v>
      </c>
    </row>
    <row r="64" spans="1:12" ht="102" thickBot="1" x14ac:dyDescent="0.3">
      <c r="A64" s="44" t="s">
        <v>10</v>
      </c>
      <c r="B64" s="21" t="s">
        <v>227</v>
      </c>
      <c r="C64" s="20" t="s">
        <v>226</v>
      </c>
      <c r="D64" s="22">
        <v>3</v>
      </c>
      <c r="E64" s="22"/>
      <c r="F64" s="22">
        <v>1000</v>
      </c>
      <c r="G64" s="47" t="s">
        <v>12</v>
      </c>
      <c r="H64" s="22" t="s">
        <v>225</v>
      </c>
      <c r="I64" s="48" t="str">
        <f t="shared" si="1"/>
        <v>*erpal02*</v>
      </c>
      <c r="J64" s="23" t="s">
        <v>13</v>
      </c>
      <c r="K64" s="24">
        <f t="shared" si="9"/>
        <v>10.799999999999999</v>
      </c>
    </row>
    <row r="65" spans="1:11" ht="102" thickBot="1" x14ac:dyDescent="0.3">
      <c r="A65" s="44" t="s">
        <v>10</v>
      </c>
      <c r="B65" s="21" t="s">
        <v>229</v>
      </c>
      <c r="C65" s="20" t="s">
        <v>228</v>
      </c>
      <c r="D65" s="22">
        <v>6</v>
      </c>
      <c r="E65" s="22"/>
      <c r="F65" s="22">
        <v>400</v>
      </c>
      <c r="G65" s="47" t="s">
        <v>12</v>
      </c>
      <c r="H65" s="22" t="s">
        <v>225</v>
      </c>
      <c r="I65" s="48" t="str">
        <f t="shared" si="1"/>
        <v>*erpal03*</v>
      </c>
      <c r="J65" s="23" t="s">
        <v>13</v>
      </c>
      <c r="K65" s="24">
        <f t="shared" si="9"/>
        <v>8.64</v>
      </c>
    </row>
    <row r="66" spans="1:11" ht="102" thickBot="1" x14ac:dyDescent="0.3">
      <c r="A66" s="44" t="s">
        <v>10</v>
      </c>
      <c r="B66" s="21" t="s">
        <v>231</v>
      </c>
      <c r="C66" s="20" t="s">
        <v>230</v>
      </c>
      <c r="D66" s="22">
        <v>12</v>
      </c>
      <c r="E66" s="22"/>
      <c r="F66" s="22">
        <v>100</v>
      </c>
      <c r="G66" s="47" t="s">
        <v>12</v>
      </c>
      <c r="H66" s="22" t="s">
        <v>225</v>
      </c>
      <c r="I66" s="48" t="str">
        <f t="shared" si="1"/>
        <v>*erpal04*</v>
      </c>
      <c r="J66" s="23" t="s">
        <v>13</v>
      </c>
      <c r="K66" s="24">
        <f t="shared" si="9"/>
        <v>4.32</v>
      </c>
    </row>
    <row r="67" spans="1:11" ht="102" thickBot="1" x14ac:dyDescent="0.3">
      <c r="A67" s="44" t="s">
        <v>10</v>
      </c>
      <c r="B67" s="21" t="s">
        <v>233</v>
      </c>
      <c r="C67" s="20" t="s">
        <v>232</v>
      </c>
      <c r="D67" s="22">
        <v>54</v>
      </c>
      <c r="E67" s="22"/>
      <c r="F67" s="22"/>
      <c r="G67" s="47" t="s">
        <v>12</v>
      </c>
      <c r="H67" s="22" t="s">
        <v>225</v>
      </c>
      <c r="I67" s="48" t="str">
        <f t="shared" si="1"/>
        <v>*erpal05*</v>
      </c>
      <c r="J67" s="51" t="s">
        <v>280</v>
      </c>
      <c r="K67" s="24"/>
    </row>
    <row r="68" spans="1:11" ht="102" thickBot="1" x14ac:dyDescent="0.3">
      <c r="A68" s="44" t="s">
        <v>10</v>
      </c>
      <c r="B68" s="21" t="s">
        <v>235</v>
      </c>
      <c r="C68" s="20" t="s">
        <v>234</v>
      </c>
      <c r="D68" s="22">
        <v>54</v>
      </c>
      <c r="E68" s="22"/>
      <c r="F68" s="22"/>
      <c r="G68" s="47" t="s">
        <v>12</v>
      </c>
      <c r="H68" s="22" t="s">
        <v>225</v>
      </c>
      <c r="I68" s="48" t="str">
        <f t="shared" ref="I68:I91" si="10">"*"&amp;C68&amp;"*"</f>
        <v>*erpal06*</v>
      </c>
      <c r="J68" s="51" t="s">
        <v>280</v>
      </c>
      <c r="K68" s="24"/>
    </row>
    <row r="69" spans="1:11" ht="102" thickBot="1" x14ac:dyDescent="0.3">
      <c r="A69" s="44" t="s">
        <v>10</v>
      </c>
      <c r="B69" s="21" t="s">
        <v>237</v>
      </c>
      <c r="C69" s="20" t="s">
        <v>236</v>
      </c>
      <c r="D69" s="22">
        <v>9</v>
      </c>
      <c r="E69" s="22"/>
      <c r="F69" s="22"/>
      <c r="G69" s="47" t="s">
        <v>12</v>
      </c>
      <c r="H69" s="22" t="s">
        <v>225</v>
      </c>
      <c r="I69" s="48" t="str">
        <f t="shared" si="10"/>
        <v>*erpal07*</v>
      </c>
      <c r="J69" s="51" t="s">
        <v>280</v>
      </c>
      <c r="K69" s="24"/>
    </row>
    <row r="70" spans="1:11" ht="102" thickBot="1" x14ac:dyDescent="0.3">
      <c r="A70" s="44" t="s">
        <v>10</v>
      </c>
      <c r="B70" s="21" t="s">
        <v>239</v>
      </c>
      <c r="C70" s="20" t="s">
        <v>238</v>
      </c>
      <c r="D70" s="22">
        <v>9</v>
      </c>
      <c r="E70" s="22"/>
      <c r="F70" s="22"/>
      <c r="G70" s="47" t="s">
        <v>12</v>
      </c>
      <c r="H70" s="22" t="s">
        <v>225</v>
      </c>
      <c r="I70" s="48" t="str">
        <f t="shared" si="10"/>
        <v>*erpal08*</v>
      </c>
      <c r="J70" s="51" t="s">
        <v>280</v>
      </c>
      <c r="K70" s="24"/>
    </row>
    <row r="71" spans="1:11" ht="102" thickBot="1" x14ac:dyDescent="0.3">
      <c r="A71" s="44" t="s">
        <v>10</v>
      </c>
      <c r="B71" s="21" t="s">
        <v>241</v>
      </c>
      <c r="C71" s="20" t="s">
        <v>240</v>
      </c>
      <c r="D71" s="22">
        <v>9</v>
      </c>
      <c r="E71" s="22"/>
      <c r="F71" s="22"/>
      <c r="G71" s="47" t="s">
        <v>12</v>
      </c>
      <c r="H71" s="22" t="s">
        <v>225</v>
      </c>
      <c r="I71" s="48" t="str">
        <f t="shared" si="10"/>
        <v>*erpal09*</v>
      </c>
      <c r="J71" s="51" t="s">
        <v>280</v>
      </c>
      <c r="K71" s="24"/>
    </row>
    <row r="72" spans="1:11" ht="102" thickBot="1" x14ac:dyDescent="0.3">
      <c r="A72" s="44" t="s">
        <v>10</v>
      </c>
      <c r="B72" s="21" t="s">
        <v>243</v>
      </c>
      <c r="C72" s="20" t="s">
        <v>242</v>
      </c>
      <c r="D72" s="22">
        <v>20</v>
      </c>
      <c r="E72" s="22"/>
      <c r="F72" s="22"/>
      <c r="G72" s="47" t="s">
        <v>12</v>
      </c>
      <c r="H72" s="22" t="s">
        <v>225</v>
      </c>
      <c r="I72" s="48" t="str">
        <f t="shared" si="10"/>
        <v>*erpal10*</v>
      </c>
      <c r="J72" s="51" t="s">
        <v>280</v>
      </c>
      <c r="K72" s="24"/>
    </row>
    <row r="73" spans="1:11" ht="102" thickBot="1" x14ac:dyDescent="0.3">
      <c r="A73" s="44" t="s">
        <v>10</v>
      </c>
      <c r="B73" s="21" t="s">
        <v>245</v>
      </c>
      <c r="C73" s="20" t="s">
        <v>244</v>
      </c>
      <c r="D73" s="22">
        <v>5</v>
      </c>
      <c r="E73" s="22"/>
      <c r="F73" s="22"/>
      <c r="G73" s="47" t="s">
        <v>12</v>
      </c>
      <c r="H73" s="22" t="s">
        <v>225</v>
      </c>
      <c r="I73" s="48" t="str">
        <f t="shared" si="10"/>
        <v>*erpal11*</v>
      </c>
      <c r="J73" s="51" t="s">
        <v>280</v>
      </c>
      <c r="K73" s="24"/>
    </row>
    <row r="74" spans="1:11" ht="102" thickBot="1" x14ac:dyDescent="0.3">
      <c r="A74" s="44" t="s">
        <v>10</v>
      </c>
      <c r="B74" s="21" t="s">
        <v>247</v>
      </c>
      <c r="C74" s="20" t="s">
        <v>246</v>
      </c>
      <c r="D74" s="22">
        <v>5</v>
      </c>
      <c r="E74" s="22"/>
      <c r="F74" s="22"/>
      <c r="G74" s="47" t="s">
        <v>12</v>
      </c>
      <c r="H74" s="22" t="s">
        <v>225</v>
      </c>
      <c r="I74" s="48" t="str">
        <f t="shared" si="10"/>
        <v>*erpal12*</v>
      </c>
      <c r="J74" s="51" t="s">
        <v>280</v>
      </c>
      <c r="K74" s="24"/>
    </row>
    <row r="75" spans="1:11" ht="102" thickBot="1" x14ac:dyDescent="0.3">
      <c r="A75" s="44" t="s">
        <v>125</v>
      </c>
      <c r="B75" s="21" t="s">
        <v>249</v>
      </c>
      <c r="C75" s="20" t="s">
        <v>248</v>
      </c>
      <c r="D75" s="22">
        <v>25</v>
      </c>
      <c r="E75" s="22"/>
      <c r="F75" s="22"/>
      <c r="G75" s="47" t="s">
        <v>12</v>
      </c>
      <c r="H75" s="22" t="s">
        <v>225</v>
      </c>
      <c r="I75" s="48" t="str">
        <f t="shared" si="10"/>
        <v>*erpal13*</v>
      </c>
      <c r="J75" s="51" t="s">
        <v>280</v>
      </c>
      <c r="K75" s="24"/>
    </row>
    <row r="76" spans="1:11" ht="102" thickBot="1" x14ac:dyDescent="0.3">
      <c r="A76" s="44" t="s">
        <v>125</v>
      </c>
      <c r="B76" s="21" t="s">
        <v>251</v>
      </c>
      <c r="C76" s="20" t="s">
        <v>250</v>
      </c>
      <c r="D76" s="22">
        <v>5</v>
      </c>
      <c r="E76" s="22"/>
      <c r="F76" s="22"/>
      <c r="G76" s="47" t="s">
        <v>12</v>
      </c>
      <c r="H76" s="22" t="s">
        <v>225</v>
      </c>
      <c r="I76" s="48" t="str">
        <f t="shared" si="10"/>
        <v>*erpal14*</v>
      </c>
      <c r="J76" s="51" t="s">
        <v>280</v>
      </c>
      <c r="K76" s="24"/>
    </row>
    <row r="77" spans="1:11" ht="102" thickBot="1" x14ac:dyDescent="0.3">
      <c r="A77" s="44" t="s">
        <v>125</v>
      </c>
      <c r="B77" s="21" t="s">
        <v>253</v>
      </c>
      <c r="C77" s="20" t="s">
        <v>252</v>
      </c>
      <c r="D77" s="22">
        <v>5</v>
      </c>
      <c r="E77" s="22"/>
      <c r="F77" s="22"/>
      <c r="G77" s="47" t="s">
        <v>12</v>
      </c>
      <c r="H77" s="22" t="s">
        <v>225</v>
      </c>
      <c r="I77" s="48" t="str">
        <f t="shared" si="10"/>
        <v>*erpal15*</v>
      </c>
      <c r="J77" s="51" t="s">
        <v>280</v>
      </c>
      <c r="K77" s="24"/>
    </row>
    <row r="78" spans="1:11" ht="102" thickBot="1" x14ac:dyDescent="0.3">
      <c r="A78" s="44" t="s">
        <v>125</v>
      </c>
      <c r="B78" s="21" t="s">
        <v>255</v>
      </c>
      <c r="C78" s="20" t="s">
        <v>254</v>
      </c>
      <c r="D78" s="22">
        <v>5</v>
      </c>
      <c r="E78" s="22"/>
      <c r="F78" s="22"/>
      <c r="G78" s="47" t="s">
        <v>12</v>
      </c>
      <c r="H78" s="22" t="s">
        <v>225</v>
      </c>
      <c r="I78" s="48" t="str">
        <f t="shared" si="10"/>
        <v>*erpal16*</v>
      </c>
      <c r="J78" s="51" t="s">
        <v>280</v>
      </c>
      <c r="K78" s="24"/>
    </row>
    <row r="79" spans="1:11" ht="102" thickBot="1" x14ac:dyDescent="0.3">
      <c r="A79" s="44" t="s">
        <v>10</v>
      </c>
      <c r="B79" s="21" t="s">
        <v>278</v>
      </c>
      <c r="C79" s="20" t="s">
        <v>277</v>
      </c>
      <c r="D79" s="22">
        <v>5</v>
      </c>
      <c r="E79" s="22"/>
      <c r="F79" s="22"/>
      <c r="G79" s="47" t="s">
        <v>12</v>
      </c>
      <c r="H79" s="22" t="s">
        <v>225</v>
      </c>
      <c r="I79" s="48" t="str">
        <f t="shared" si="10"/>
        <v>*erpal17*</v>
      </c>
      <c r="J79" s="51" t="s">
        <v>280</v>
      </c>
      <c r="K79" s="24"/>
    </row>
    <row r="80" spans="1:11" ht="102" thickBot="1" x14ac:dyDescent="0.3">
      <c r="A80" s="44" t="s">
        <v>283</v>
      </c>
      <c r="B80" s="21" t="s">
        <v>285</v>
      </c>
      <c r="C80" s="20" t="s">
        <v>284</v>
      </c>
      <c r="D80" s="22">
        <v>1</v>
      </c>
      <c r="E80" s="22"/>
      <c r="F80" s="22"/>
      <c r="G80" s="22" t="s">
        <v>12</v>
      </c>
      <c r="H80" s="20" t="s">
        <v>286</v>
      </c>
      <c r="I80" s="48" t="str">
        <f t="shared" si="10"/>
        <v>*posco01*</v>
      </c>
      <c r="J80" s="23"/>
      <c r="K80" s="24"/>
    </row>
    <row r="81" spans="1:11" ht="102" thickBot="1" x14ac:dyDescent="0.3">
      <c r="A81" s="44" t="s">
        <v>283</v>
      </c>
      <c r="B81" s="21" t="s">
        <v>289</v>
      </c>
      <c r="C81" s="20" t="s">
        <v>288</v>
      </c>
      <c r="D81" s="22">
        <v>1</v>
      </c>
      <c r="E81" s="22"/>
      <c r="F81" s="22"/>
      <c r="G81" s="22"/>
      <c r="H81" s="20" t="s">
        <v>287</v>
      </c>
      <c r="I81" s="48" t="str">
        <f t="shared" si="10"/>
        <v>*posco02*</v>
      </c>
      <c r="J81" s="23"/>
      <c r="K81" s="24"/>
    </row>
    <row r="82" spans="1:11" ht="102" thickBot="1" x14ac:dyDescent="0.3">
      <c r="A82" s="44" t="s">
        <v>283</v>
      </c>
      <c r="B82" s="21" t="s">
        <v>291</v>
      </c>
      <c r="C82" s="20" t="s">
        <v>290</v>
      </c>
      <c r="D82" s="22">
        <v>1</v>
      </c>
      <c r="E82" s="22"/>
      <c r="F82" s="22"/>
      <c r="G82" s="22"/>
      <c r="H82" s="20" t="s">
        <v>286</v>
      </c>
      <c r="I82" s="48" t="str">
        <f t="shared" si="10"/>
        <v>*posco03*</v>
      </c>
      <c r="J82" s="23"/>
      <c r="K82" s="24"/>
    </row>
    <row r="83" spans="1:11" ht="102" thickBot="1" x14ac:dyDescent="0.3">
      <c r="A83" s="44" t="s">
        <v>283</v>
      </c>
      <c r="B83" s="21" t="s">
        <v>293</v>
      </c>
      <c r="C83" s="20" t="s">
        <v>292</v>
      </c>
      <c r="D83" s="22">
        <v>1</v>
      </c>
      <c r="E83" s="22"/>
      <c r="F83" s="22"/>
      <c r="G83" s="22"/>
      <c r="H83" s="20" t="s">
        <v>286</v>
      </c>
      <c r="I83" s="48" t="str">
        <f t="shared" si="10"/>
        <v>*posco04*</v>
      </c>
      <c r="J83" s="23"/>
      <c r="K83" s="24"/>
    </row>
    <row r="84" spans="1:11" ht="102" thickBot="1" x14ac:dyDescent="0.3">
      <c r="A84" s="44" t="s">
        <v>283</v>
      </c>
      <c r="B84" s="21" t="s">
        <v>295</v>
      </c>
      <c r="C84" s="20" t="s">
        <v>294</v>
      </c>
      <c r="D84" s="22">
        <v>1</v>
      </c>
      <c r="E84" s="22"/>
      <c r="F84" s="22"/>
      <c r="G84" s="22"/>
      <c r="H84" s="20" t="s">
        <v>286</v>
      </c>
      <c r="I84" s="48" t="str">
        <f t="shared" si="10"/>
        <v>*posco05*</v>
      </c>
      <c r="J84" s="23"/>
      <c r="K84" s="24"/>
    </row>
    <row r="85" spans="1:11" ht="102" thickBot="1" x14ac:dyDescent="0.3">
      <c r="A85" s="44" t="s">
        <v>283</v>
      </c>
      <c r="B85" s="21" t="s">
        <v>297</v>
      </c>
      <c r="C85" s="20" t="s">
        <v>296</v>
      </c>
      <c r="D85" s="22">
        <v>8</v>
      </c>
      <c r="E85" s="22"/>
      <c r="F85" s="22"/>
      <c r="G85" s="22"/>
      <c r="H85" s="20" t="s">
        <v>286</v>
      </c>
      <c r="I85" s="48" t="str">
        <f t="shared" si="10"/>
        <v>*posco06*</v>
      </c>
      <c r="J85" s="23"/>
      <c r="K85" s="24"/>
    </row>
    <row r="86" spans="1:11" ht="102" thickBot="1" x14ac:dyDescent="0.3">
      <c r="A86" s="44" t="s">
        <v>283</v>
      </c>
      <c r="B86" s="21" t="s">
        <v>308</v>
      </c>
      <c r="C86" s="20" t="s">
        <v>307</v>
      </c>
      <c r="D86" s="22">
        <v>4</v>
      </c>
      <c r="E86" s="22"/>
      <c r="F86" s="22">
        <v>1000</v>
      </c>
      <c r="G86" s="22"/>
      <c r="H86" s="22" t="s">
        <v>306</v>
      </c>
      <c r="I86" s="48" t="str">
        <f t="shared" si="10"/>
        <v>*pocas01*</v>
      </c>
      <c r="J86" s="23"/>
      <c r="K86" s="24"/>
    </row>
    <row r="87" spans="1:11" ht="102" thickBot="1" x14ac:dyDescent="0.3">
      <c r="A87" s="44" t="s">
        <v>283</v>
      </c>
      <c r="B87" s="21" t="s">
        <v>310</v>
      </c>
      <c r="C87" s="20" t="s">
        <v>309</v>
      </c>
      <c r="D87" s="22">
        <v>4</v>
      </c>
      <c r="E87" s="22"/>
      <c r="F87" s="22">
        <v>140</v>
      </c>
      <c r="G87" s="22"/>
      <c r="H87" s="22" t="s">
        <v>306</v>
      </c>
      <c r="I87" s="48" t="str">
        <f t="shared" si="10"/>
        <v>*pocas02*</v>
      </c>
      <c r="J87" s="23"/>
      <c r="K87" s="24"/>
    </row>
    <row r="88" spans="1:11" ht="102" thickBot="1" x14ac:dyDescent="0.3">
      <c r="A88" s="44" t="s">
        <v>283</v>
      </c>
      <c r="B88" s="21" t="s">
        <v>312</v>
      </c>
      <c r="C88" s="20" t="s">
        <v>311</v>
      </c>
      <c r="D88" s="22">
        <v>4</v>
      </c>
      <c r="E88" s="22"/>
      <c r="F88" s="22">
        <v>750</v>
      </c>
      <c r="G88" s="22"/>
      <c r="H88" s="22" t="s">
        <v>306</v>
      </c>
      <c r="I88" s="48" t="str">
        <f t="shared" si="10"/>
        <v>*pocas03*</v>
      </c>
      <c r="J88" s="23"/>
      <c r="K88" s="24"/>
    </row>
    <row r="89" spans="1:11" ht="102" thickBot="1" x14ac:dyDescent="0.3">
      <c r="A89" s="44" t="s">
        <v>283</v>
      </c>
      <c r="B89" s="21" t="s">
        <v>314</v>
      </c>
      <c r="C89" s="20" t="s">
        <v>313</v>
      </c>
      <c r="D89" s="22">
        <v>6</v>
      </c>
      <c r="E89" s="22"/>
      <c r="F89" s="22">
        <v>950</v>
      </c>
      <c r="G89" s="22"/>
      <c r="H89" s="22" t="s">
        <v>306</v>
      </c>
      <c r="I89" s="48" t="str">
        <f t="shared" si="10"/>
        <v>*pocas04*</v>
      </c>
      <c r="J89" s="23"/>
      <c r="K89" s="24"/>
    </row>
    <row r="90" spans="1:11" ht="102" thickBot="1" x14ac:dyDescent="0.3">
      <c r="A90" s="44" t="s">
        <v>283</v>
      </c>
      <c r="B90" s="21" t="s">
        <v>316</v>
      </c>
      <c r="C90" s="20" t="s">
        <v>315</v>
      </c>
      <c r="D90" s="22">
        <v>6</v>
      </c>
      <c r="E90" s="22"/>
      <c r="F90" s="22">
        <v>700</v>
      </c>
      <c r="G90" s="22"/>
      <c r="H90" s="22" t="s">
        <v>306</v>
      </c>
      <c r="I90" s="48" t="str">
        <f t="shared" si="10"/>
        <v>*pocas05*</v>
      </c>
      <c r="J90" s="23"/>
      <c r="K90" s="24"/>
    </row>
    <row r="91" spans="1:11" ht="102" thickBot="1" x14ac:dyDescent="0.3">
      <c r="A91" s="44" t="s">
        <v>283</v>
      </c>
      <c r="B91" s="21" t="s">
        <v>318</v>
      </c>
      <c r="C91" s="20" t="s">
        <v>317</v>
      </c>
      <c r="D91" s="22">
        <v>8</v>
      </c>
      <c r="E91" s="22"/>
      <c r="F91" s="22">
        <v>150</v>
      </c>
      <c r="G91" s="22"/>
      <c r="H91" s="22" t="s">
        <v>306</v>
      </c>
      <c r="I91" s="48" t="str">
        <f t="shared" si="10"/>
        <v>*pocas06*</v>
      </c>
      <c r="J91" s="23"/>
      <c r="K91" s="24"/>
    </row>
    <row r="92" spans="1:11" ht="102" thickBot="1" x14ac:dyDescent="0.3">
      <c r="A92" s="44"/>
      <c r="B92" s="21"/>
      <c r="C92" s="20"/>
      <c r="D92" s="22"/>
      <c r="E92" s="22"/>
      <c r="F92" s="22"/>
      <c r="G92" s="22"/>
      <c r="H92" s="22"/>
      <c r="I92" s="39"/>
      <c r="J92" s="23"/>
      <c r="K92" s="24"/>
    </row>
    <row r="93" spans="1:11" ht="102" thickBot="1" x14ac:dyDescent="0.3">
      <c r="A93" s="44"/>
      <c r="B93" s="21"/>
      <c r="C93" s="20"/>
      <c r="D93" s="22"/>
      <c r="E93" s="22"/>
      <c r="F93" s="22"/>
      <c r="G93" s="22"/>
      <c r="H93" s="22"/>
      <c r="I93" s="39"/>
      <c r="J93" s="23"/>
      <c r="K93" s="24"/>
    </row>
    <row r="94" spans="1:11" ht="102" thickBot="1" x14ac:dyDescent="0.3">
      <c r="A94" s="44"/>
      <c r="B94" s="21"/>
      <c r="C94" s="20"/>
      <c r="D94" s="22"/>
      <c r="E94" s="22"/>
      <c r="F94" s="22"/>
      <c r="G94" s="22"/>
      <c r="H94" s="22"/>
      <c r="I94" s="39"/>
      <c r="J94" s="23"/>
      <c r="K94" s="24"/>
    </row>
    <row r="95" spans="1:11" ht="102" thickBot="1" x14ac:dyDescent="0.3">
      <c r="A95" s="44"/>
      <c r="B95" s="21"/>
      <c r="C95" s="20"/>
      <c r="D95" s="22"/>
      <c r="E95" s="22"/>
      <c r="F95" s="22"/>
      <c r="G95" s="22"/>
      <c r="H95" s="22"/>
      <c r="I95" s="39"/>
      <c r="J95" s="23"/>
      <c r="K95" s="24"/>
    </row>
    <row r="96" spans="1:11" ht="102" thickBot="1" x14ac:dyDescent="0.3">
      <c r="A96" s="44"/>
      <c r="B96" s="21"/>
      <c r="C96" s="20"/>
      <c r="D96" s="22"/>
      <c r="E96" s="22"/>
      <c r="F96" s="22"/>
      <c r="G96" s="22"/>
      <c r="H96" s="22"/>
      <c r="I96" s="39"/>
      <c r="J96" s="23"/>
      <c r="K96" s="24"/>
    </row>
    <row r="97" spans="1:11" ht="102" thickBot="1" x14ac:dyDescent="0.3">
      <c r="A97" s="44"/>
      <c r="B97" s="21"/>
      <c r="C97" s="20"/>
      <c r="D97" s="22"/>
      <c r="E97" s="22"/>
      <c r="F97" s="22"/>
      <c r="G97" s="22"/>
      <c r="H97" s="22"/>
      <c r="I97" s="39"/>
      <c r="J97" s="23"/>
      <c r="K97" s="24"/>
    </row>
    <row r="98" spans="1:11" ht="102" thickBot="1" x14ac:dyDescent="0.3">
      <c r="A98" s="44"/>
      <c r="B98" s="21"/>
      <c r="C98" s="20"/>
      <c r="D98" s="22"/>
      <c r="E98" s="22"/>
      <c r="F98" s="22"/>
      <c r="G98" s="22"/>
      <c r="H98" s="22"/>
      <c r="I98" s="39"/>
      <c r="J98" s="23"/>
      <c r="K98" s="24"/>
    </row>
    <row r="99" spans="1:11" ht="102" thickBot="1" x14ac:dyDescent="0.3">
      <c r="A99" s="44"/>
      <c r="B99" s="21"/>
      <c r="C99" s="20"/>
      <c r="D99" s="22"/>
      <c r="E99" s="22"/>
      <c r="F99" s="22"/>
      <c r="G99" s="22"/>
      <c r="H99" s="22"/>
      <c r="I99" s="39"/>
      <c r="J99" s="23"/>
      <c r="K99" s="24"/>
    </row>
    <row r="100" spans="1:11" ht="102" thickBot="1" x14ac:dyDescent="0.3">
      <c r="A100" s="44"/>
      <c r="B100" s="21"/>
      <c r="C100" s="20"/>
      <c r="D100" s="22"/>
      <c r="E100" s="22"/>
      <c r="F100" s="22"/>
      <c r="G100" s="22"/>
      <c r="H100" s="22"/>
      <c r="I100" s="39"/>
      <c r="J100" s="23"/>
      <c r="K100" s="24"/>
    </row>
    <row r="101" spans="1:11" ht="102" thickBot="1" x14ac:dyDescent="0.3">
      <c r="A101" s="44"/>
      <c r="B101" s="21"/>
      <c r="C101" s="20"/>
      <c r="D101" s="22"/>
      <c r="E101" s="22"/>
      <c r="F101" s="22"/>
      <c r="G101" s="22"/>
      <c r="H101" s="22"/>
      <c r="I101" s="39"/>
      <c r="J101" s="23"/>
      <c r="K101" s="24"/>
    </row>
    <row r="102" spans="1:11" ht="102" thickBot="1" x14ac:dyDescent="0.3">
      <c r="A102" s="44"/>
      <c r="B102" s="21"/>
      <c r="C102" s="20"/>
      <c r="D102" s="22"/>
      <c r="E102" s="22"/>
      <c r="F102" s="22"/>
      <c r="G102" s="22"/>
      <c r="H102" s="22"/>
      <c r="I102" s="39"/>
      <c r="J102" s="23"/>
      <c r="K102" s="24"/>
    </row>
    <row r="103" spans="1:11" ht="102" thickBot="1" x14ac:dyDescent="0.3">
      <c r="A103" s="44"/>
      <c r="B103" s="21"/>
      <c r="C103" s="20"/>
      <c r="D103" s="22"/>
      <c r="E103" s="22"/>
      <c r="F103" s="22"/>
      <c r="G103" s="22"/>
      <c r="H103" s="22"/>
      <c r="I103" s="39"/>
      <c r="J103" s="23"/>
      <c r="K103" s="24"/>
    </row>
    <row r="104" spans="1:11" ht="102" thickBot="1" x14ac:dyDescent="0.3">
      <c r="A104" s="44"/>
      <c r="B104" s="21"/>
      <c r="C104" s="20"/>
      <c r="D104" s="22"/>
      <c r="E104" s="22"/>
      <c r="F104" s="22"/>
      <c r="G104" s="22"/>
      <c r="H104" s="22"/>
      <c r="I104" s="39"/>
      <c r="J104" s="23"/>
      <c r="K104" s="24"/>
    </row>
    <row r="105" spans="1:11" ht="102" thickBot="1" x14ac:dyDescent="0.3">
      <c r="A105" s="44"/>
      <c r="B105" s="21"/>
      <c r="C105" s="20"/>
      <c r="D105" s="22"/>
      <c r="E105" s="22"/>
      <c r="F105" s="22"/>
      <c r="G105" s="22"/>
      <c r="H105" s="22"/>
      <c r="I105" s="39"/>
      <c r="J105" s="23"/>
      <c r="K105" s="24"/>
    </row>
    <row r="106" spans="1:11" ht="102" thickBot="1" x14ac:dyDescent="0.3">
      <c r="A106" s="44"/>
      <c r="B106" s="21"/>
      <c r="C106" s="20"/>
      <c r="D106" s="22"/>
      <c r="E106" s="22"/>
      <c r="F106" s="22"/>
      <c r="G106" s="22"/>
      <c r="H106" s="22"/>
      <c r="I106" s="39"/>
      <c r="J106" s="23"/>
      <c r="K106" s="24"/>
    </row>
    <row r="107" spans="1:11" ht="102" thickBot="1" x14ac:dyDescent="0.3">
      <c r="A107" s="44"/>
      <c r="B107" s="21"/>
      <c r="C107" s="20"/>
      <c r="D107" s="22"/>
      <c r="E107" s="22"/>
      <c r="F107" s="22"/>
      <c r="G107" s="22"/>
      <c r="H107" s="22"/>
      <c r="I107" s="39"/>
      <c r="J107" s="23"/>
      <c r="K107" s="24"/>
    </row>
    <row r="108" spans="1:11" ht="102" thickBot="1" x14ac:dyDescent="0.3">
      <c r="A108" s="44"/>
      <c r="B108" s="21"/>
      <c r="C108" s="20"/>
      <c r="D108" s="22"/>
      <c r="E108" s="22"/>
      <c r="F108" s="22"/>
      <c r="G108" s="22"/>
      <c r="H108" s="22"/>
      <c r="I108" s="39"/>
      <c r="J108" s="23"/>
      <c r="K108" s="24"/>
    </row>
    <row r="109" spans="1:11" ht="102" thickBot="1" x14ac:dyDescent="0.3">
      <c r="A109" s="44"/>
      <c r="B109" s="21"/>
      <c r="C109" s="20"/>
      <c r="D109" s="22"/>
      <c r="E109" s="22"/>
      <c r="F109" s="22"/>
      <c r="G109" s="22"/>
      <c r="H109" s="22"/>
      <c r="I109" s="39"/>
      <c r="J109" s="23"/>
      <c r="K109" s="24"/>
    </row>
    <row r="110" spans="1:11" ht="102" thickBot="1" x14ac:dyDescent="0.3">
      <c r="A110" s="44"/>
      <c r="B110" s="21"/>
      <c r="C110" s="20"/>
      <c r="D110" s="22"/>
      <c r="E110" s="22"/>
      <c r="F110" s="22"/>
      <c r="G110" s="22"/>
      <c r="H110" s="22"/>
      <c r="I110" s="39"/>
      <c r="J110" s="23"/>
      <c r="K110" s="24"/>
    </row>
    <row r="111" spans="1:11" ht="102" thickBot="1" x14ac:dyDescent="0.3">
      <c r="A111" s="44"/>
      <c r="B111" s="21"/>
      <c r="C111" s="20"/>
      <c r="D111" s="22"/>
      <c r="E111" s="22"/>
      <c r="F111" s="22"/>
      <c r="G111" s="22"/>
      <c r="H111" s="22"/>
      <c r="I111" s="39"/>
      <c r="J111" s="23"/>
      <c r="K111" s="24"/>
    </row>
    <row r="112" spans="1:11" ht="102" thickBot="1" x14ac:dyDescent="0.3">
      <c r="A112" s="44"/>
      <c r="B112" s="21"/>
      <c r="C112" s="20"/>
      <c r="D112" s="22"/>
      <c r="E112" s="22"/>
      <c r="F112" s="22"/>
      <c r="G112" s="22"/>
      <c r="H112" s="22"/>
      <c r="I112" s="39"/>
      <c r="J112" s="23"/>
      <c r="K112" s="24"/>
    </row>
    <row r="113" spans="1:11" ht="102" thickBot="1" x14ac:dyDescent="0.3">
      <c r="A113" s="44"/>
      <c r="B113" s="21"/>
      <c r="C113" s="20"/>
      <c r="D113" s="22"/>
      <c r="E113" s="22"/>
      <c r="F113" s="22"/>
      <c r="G113" s="22"/>
      <c r="H113" s="22"/>
      <c r="I113" s="39"/>
      <c r="J113" s="23"/>
      <c r="K113" s="24"/>
    </row>
    <row r="114" spans="1:11" ht="102" thickBot="1" x14ac:dyDescent="0.3">
      <c r="A114" s="44"/>
      <c r="B114" s="21"/>
      <c r="C114" s="20"/>
      <c r="D114" s="22"/>
      <c r="E114" s="22"/>
      <c r="F114" s="22"/>
      <c r="G114" s="22"/>
      <c r="H114" s="22"/>
      <c r="I114" s="39"/>
      <c r="J114" s="23"/>
      <c r="K114" s="24"/>
    </row>
    <row r="115" spans="1:11" ht="102" thickBot="1" x14ac:dyDescent="0.3">
      <c r="A115" s="44"/>
      <c r="B115" s="21"/>
      <c r="C115" s="20"/>
      <c r="D115" s="22"/>
      <c r="E115" s="22"/>
      <c r="F115" s="22"/>
      <c r="G115" s="22"/>
      <c r="H115" s="22"/>
      <c r="I115" s="39"/>
      <c r="J115" s="23"/>
      <c r="K115" s="24"/>
    </row>
    <row r="116" spans="1:11" ht="102" thickBot="1" x14ac:dyDescent="0.3">
      <c r="A116" s="44"/>
      <c r="B116" s="21"/>
      <c r="C116" s="20"/>
      <c r="D116" s="22"/>
      <c r="E116" s="22"/>
      <c r="F116" s="22"/>
      <c r="G116" s="22"/>
      <c r="H116" s="22"/>
      <c r="I116" s="39"/>
      <c r="J116" s="23"/>
      <c r="K116" s="24"/>
    </row>
  </sheetData>
  <phoneticPr fontId="2" type="noConversion"/>
  <pageMargins left="0.7" right="0.7" top="0.75" bottom="0.75" header="0.3" footer="0.3"/>
  <pageSetup paperSize="9" scale="29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EsportaPDF">
                <anchor moveWithCells="1" sizeWithCells="1">
                  <from>
                    <xdr:col>11</xdr:col>
                    <xdr:colOff>257175</xdr:colOff>
                    <xdr:row>1</xdr:row>
                    <xdr:rowOff>200025</xdr:rowOff>
                  </from>
                  <to>
                    <xdr:col>11</xdr:col>
                    <xdr:colOff>1209675</xdr:colOff>
                    <xdr:row>1</xdr:row>
                    <xdr:rowOff>1019175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CompilaCodiciBarre">
                <anchor moveWithCells="1" sizeWithCells="1">
                  <from>
                    <xdr:col>12</xdr:col>
                    <xdr:colOff>323850</xdr:colOff>
                    <xdr:row>5</xdr:row>
                    <xdr:rowOff>228600</xdr:rowOff>
                  </from>
                  <to>
                    <xdr:col>12</xdr:col>
                    <xdr:colOff>2314575</xdr:colOff>
                    <xdr:row>5</xdr:row>
                    <xdr:rowOff>1057275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TRASFERISCI_DISTINTA">
                <anchor moveWithCells="1" sizeWithCells="1">
                  <from>
                    <xdr:col>12</xdr:col>
                    <xdr:colOff>342900</xdr:colOff>
                    <xdr:row>4</xdr:row>
                    <xdr:rowOff>161925</xdr:rowOff>
                  </from>
                  <to>
                    <xdr:col>12</xdr:col>
                    <xdr:colOff>2352675</xdr:colOff>
                    <xdr:row>4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H96"/>
  <sheetViews>
    <sheetView topLeftCell="A31" workbookViewId="0">
      <selection activeCell="A86" sqref="A86"/>
    </sheetView>
  </sheetViews>
  <sheetFormatPr defaultRowHeight="15" x14ac:dyDescent="0.25"/>
  <cols>
    <col min="1" max="1" width="29" customWidth="1"/>
    <col min="2" max="2" width="20" customWidth="1"/>
    <col min="3" max="3" width="55.42578125" bestFit="1" customWidth="1"/>
    <col min="4" max="5" width="22.85546875" customWidth="1"/>
    <col min="6" max="6" width="14.7109375" bestFit="1" customWidth="1"/>
    <col min="8" max="8" width="15.7109375" bestFit="1" customWidth="1"/>
  </cols>
  <sheetData>
    <row r="1" spans="1:8" ht="18.75" customHeight="1" x14ac:dyDescent="0.3">
      <c r="A1" s="6" t="s">
        <v>28</v>
      </c>
      <c r="B1" s="6" t="s">
        <v>29</v>
      </c>
      <c r="C1" s="6" t="s">
        <v>30</v>
      </c>
      <c r="D1" s="6" t="s">
        <v>31</v>
      </c>
      <c r="E1" s="6" t="s">
        <v>32</v>
      </c>
      <c r="F1" s="6" t="s">
        <v>33</v>
      </c>
      <c r="G1">
        <v>18</v>
      </c>
    </row>
    <row r="2" spans="1:8" ht="18.75" customHeight="1" x14ac:dyDescent="0.3">
      <c r="A2" s="9" t="s">
        <v>79</v>
      </c>
      <c r="B2" s="4" t="s">
        <v>11</v>
      </c>
      <c r="C2" s="3" t="s">
        <v>34</v>
      </c>
      <c r="D2" s="3" t="s">
        <v>35</v>
      </c>
      <c r="E2" s="4" t="s">
        <v>36</v>
      </c>
      <c r="F2" s="32" t="s">
        <v>37</v>
      </c>
      <c r="G2">
        <v>2</v>
      </c>
      <c r="H2">
        <v>36</v>
      </c>
    </row>
    <row r="3" spans="1:8" ht="18.75" customHeight="1" x14ac:dyDescent="0.3">
      <c r="A3" s="9" t="s">
        <v>77</v>
      </c>
      <c r="B3" s="4" t="s">
        <v>14</v>
      </c>
      <c r="C3" s="3" t="s">
        <v>38</v>
      </c>
      <c r="D3" s="3" t="s">
        <v>35</v>
      </c>
      <c r="E3" s="4" t="s">
        <v>36</v>
      </c>
      <c r="F3" s="32" t="s">
        <v>37</v>
      </c>
      <c r="G3">
        <v>1</v>
      </c>
      <c r="H3">
        <v>18</v>
      </c>
    </row>
    <row r="4" spans="1:8" ht="18.75" customHeight="1" x14ac:dyDescent="0.3">
      <c r="A4" s="9" t="s">
        <v>80</v>
      </c>
      <c r="B4" s="4" t="s">
        <v>15</v>
      </c>
      <c r="C4" s="3" t="s">
        <v>39</v>
      </c>
      <c r="D4" s="3" t="s">
        <v>35</v>
      </c>
      <c r="E4" s="4" t="s">
        <v>36</v>
      </c>
      <c r="F4" s="32" t="s">
        <v>37</v>
      </c>
      <c r="G4">
        <v>2</v>
      </c>
      <c r="H4">
        <v>36</v>
      </c>
    </row>
    <row r="5" spans="1:8" ht="18.75" customHeight="1" x14ac:dyDescent="0.3">
      <c r="A5" s="9" t="s">
        <v>81</v>
      </c>
      <c r="B5" s="4" t="s">
        <v>16</v>
      </c>
      <c r="C5" s="3" t="s">
        <v>40</v>
      </c>
      <c r="D5" s="3" t="s">
        <v>35</v>
      </c>
      <c r="E5" s="4" t="s">
        <v>36</v>
      </c>
      <c r="F5" s="32" t="s">
        <v>37</v>
      </c>
      <c r="G5">
        <v>1</v>
      </c>
      <c r="H5">
        <v>18</v>
      </c>
    </row>
    <row r="6" spans="1:8" ht="18.75" customHeight="1" x14ac:dyDescent="0.3">
      <c r="A6" s="9" t="s">
        <v>82</v>
      </c>
      <c r="B6" s="4" t="s">
        <v>17</v>
      </c>
      <c r="C6" s="3" t="s">
        <v>41</v>
      </c>
      <c r="D6" s="3" t="s">
        <v>42</v>
      </c>
      <c r="E6" s="4">
        <v>5</v>
      </c>
      <c r="F6" s="32" t="s">
        <v>37</v>
      </c>
      <c r="G6">
        <v>3</v>
      </c>
      <c r="H6">
        <v>54</v>
      </c>
    </row>
    <row r="7" spans="1:8" ht="18.75" customHeight="1" x14ac:dyDescent="0.3">
      <c r="A7" s="9" t="s">
        <v>83</v>
      </c>
      <c r="B7" s="4" t="s">
        <v>18</v>
      </c>
      <c r="C7" s="3" t="s">
        <v>43</v>
      </c>
      <c r="D7" s="3" t="s">
        <v>42</v>
      </c>
      <c r="E7" s="4">
        <v>5</v>
      </c>
      <c r="F7" s="32" t="s">
        <v>37</v>
      </c>
      <c r="G7">
        <v>2</v>
      </c>
      <c r="H7">
        <v>36</v>
      </c>
    </row>
    <row r="8" spans="1:8" ht="18.75" customHeight="1" x14ac:dyDescent="0.3">
      <c r="A8" s="9" t="s">
        <v>84</v>
      </c>
      <c r="B8" s="4" t="s">
        <v>19</v>
      </c>
      <c r="C8" s="3" t="s">
        <v>44</v>
      </c>
      <c r="D8" s="3" t="s">
        <v>42</v>
      </c>
      <c r="E8" s="4">
        <v>5</v>
      </c>
      <c r="F8" s="32" t="s">
        <v>37</v>
      </c>
      <c r="G8">
        <v>2</v>
      </c>
      <c r="H8">
        <v>36</v>
      </c>
    </row>
    <row r="9" spans="1:8" ht="18.75" customHeight="1" x14ac:dyDescent="0.3">
      <c r="A9" s="9" t="s">
        <v>85</v>
      </c>
      <c r="B9" s="4" t="s">
        <v>20</v>
      </c>
      <c r="C9" s="3" t="s">
        <v>45</v>
      </c>
      <c r="D9" s="3" t="s">
        <v>35</v>
      </c>
      <c r="E9" s="4" t="s">
        <v>36</v>
      </c>
      <c r="F9" s="32" t="s">
        <v>37</v>
      </c>
      <c r="G9">
        <v>7</v>
      </c>
      <c r="H9">
        <v>126</v>
      </c>
    </row>
    <row r="10" spans="1:8" ht="19.5" customHeight="1" thickBot="1" x14ac:dyDescent="0.35">
      <c r="A10" s="9" t="s">
        <v>86</v>
      </c>
      <c r="B10" s="8" t="s">
        <v>21</v>
      </c>
      <c r="C10" s="11" t="s">
        <v>46</v>
      </c>
      <c r="D10" s="11" t="s">
        <v>42</v>
      </c>
      <c r="E10" s="8">
        <v>5</v>
      </c>
      <c r="F10" s="33" t="s">
        <v>37</v>
      </c>
      <c r="G10">
        <v>7</v>
      </c>
      <c r="H10">
        <v>126</v>
      </c>
    </row>
    <row r="11" spans="1:8" ht="19.5" customHeight="1" x14ac:dyDescent="0.3">
      <c r="A11" s="10" t="s">
        <v>87</v>
      </c>
      <c r="B11" s="7" t="s">
        <v>22</v>
      </c>
      <c r="C11" s="12" t="s">
        <v>281</v>
      </c>
      <c r="D11" s="12" t="s">
        <v>35</v>
      </c>
      <c r="E11" s="7" t="s">
        <v>36</v>
      </c>
      <c r="F11" s="34" t="s">
        <v>37</v>
      </c>
    </row>
    <row r="12" spans="1:8" ht="18.75" customHeight="1" x14ac:dyDescent="0.3">
      <c r="A12" s="10" t="s">
        <v>88</v>
      </c>
      <c r="B12" s="7" t="s">
        <v>23</v>
      </c>
      <c r="C12" s="12" t="s">
        <v>282</v>
      </c>
      <c r="D12" s="12" t="s">
        <v>35</v>
      </c>
      <c r="E12" s="7" t="s">
        <v>36</v>
      </c>
      <c r="F12" s="34" t="s">
        <v>37</v>
      </c>
      <c r="G12">
        <v>2</v>
      </c>
      <c r="H12">
        <v>30</v>
      </c>
    </row>
    <row r="13" spans="1:8" ht="18.75" customHeight="1" x14ac:dyDescent="0.3">
      <c r="A13" s="10" t="s">
        <v>89</v>
      </c>
      <c r="B13" s="4" t="s">
        <v>24</v>
      </c>
      <c r="C13" s="3" t="s">
        <v>47</v>
      </c>
      <c r="D13" s="12" t="s">
        <v>35</v>
      </c>
      <c r="E13" s="7" t="s">
        <v>48</v>
      </c>
      <c r="F13" s="32" t="s">
        <v>37</v>
      </c>
      <c r="G13">
        <v>1</v>
      </c>
      <c r="H13">
        <v>15</v>
      </c>
    </row>
    <row r="14" spans="1:8" ht="18.75" customHeight="1" x14ac:dyDescent="0.3">
      <c r="A14" s="10" t="s">
        <v>90</v>
      </c>
      <c r="B14" s="4" t="s">
        <v>25</v>
      </c>
      <c r="C14" s="3" t="s">
        <v>49</v>
      </c>
      <c r="D14" s="12" t="s">
        <v>35</v>
      </c>
      <c r="E14" s="7" t="s">
        <v>36</v>
      </c>
      <c r="F14" s="32" t="s">
        <v>37</v>
      </c>
      <c r="G14">
        <v>2</v>
      </c>
      <c r="H14">
        <v>30</v>
      </c>
    </row>
    <row r="15" spans="1:8" ht="18.75" customHeight="1" x14ac:dyDescent="0.3">
      <c r="A15" s="10" t="s">
        <v>91</v>
      </c>
      <c r="B15" s="4" t="s">
        <v>26</v>
      </c>
      <c r="C15" s="3" t="s">
        <v>50</v>
      </c>
      <c r="D15" s="3" t="s">
        <v>51</v>
      </c>
      <c r="E15" s="4">
        <v>12</v>
      </c>
      <c r="F15" s="32" t="s">
        <v>37</v>
      </c>
      <c r="G15">
        <v>9</v>
      </c>
      <c r="H15">
        <v>135</v>
      </c>
    </row>
    <row r="16" spans="1:8" ht="18.75" customHeight="1" x14ac:dyDescent="0.3">
      <c r="A16" s="10" t="s">
        <v>92</v>
      </c>
      <c r="B16" s="4" t="s">
        <v>53</v>
      </c>
      <c r="C16" s="3" t="s">
        <v>52</v>
      </c>
      <c r="D16" s="3" t="s">
        <v>42</v>
      </c>
      <c r="E16" s="4">
        <v>5</v>
      </c>
      <c r="F16" s="32" t="s">
        <v>37</v>
      </c>
      <c r="G16">
        <v>12</v>
      </c>
      <c r="H16">
        <v>12</v>
      </c>
    </row>
    <row r="17" spans="1:8" ht="19.5" customHeight="1" thickBot="1" x14ac:dyDescent="0.35">
      <c r="A17" s="10" t="s">
        <v>298</v>
      </c>
      <c r="B17" s="8" t="s">
        <v>299</v>
      </c>
      <c r="C17" s="11" t="s">
        <v>54</v>
      </c>
      <c r="D17" s="11" t="s">
        <v>42</v>
      </c>
      <c r="E17" s="8">
        <v>5</v>
      </c>
      <c r="F17" s="33" t="s">
        <v>37</v>
      </c>
      <c r="G17" s="36">
        <v>2</v>
      </c>
      <c r="H17" s="36">
        <v>24</v>
      </c>
    </row>
    <row r="18" spans="1:8" ht="18.75" customHeight="1" thickBot="1" x14ac:dyDescent="0.35">
      <c r="A18" s="37" t="s">
        <v>146</v>
      </c>
      <c r="B18" s="7" t="s">
        <v>147</v>
      </c>
      <c r="C18" s="3" t="s">
        <v>58</v>
      </c>
      <c r="D18" s="12" t="s">
        <v>35</v>
      </c>
      <c r="E18" s="4" t="s">
        <v>57</v>
      </c>
      <c r="F18" s="35" t="s">
        <v>37</v>
      </c>
      <c r="G18">
        <v>1</v>
      </c>
    </row>
    <row r="19" spans="1:8" ht="18.75" customHeight="1" thickBot="1" x14ac:dyDescent="0.35">
      <c r="A19" s="37" t="s">
        <v>148</v>
      </c>
      <c r="B19" s="7" t="s">
        <v>149</v>
      </c>
      <c r="C19" s="3" t="s">
        <v>56</v>
      </c>
      <c r="D19" s="12" t="s">
        <v>35</v>
      </c>
      <c r="E19" s="4" t="s">
        <v>57</v>
      </c>
      <c r="F19" s="33" t="s">
        <v>37</v>
      </c>
      <c r="G19">
        <v>1</v>
      </c>
    </row>
    <row r="20" spans="1:8" ht="18.75" customHeight="1" thickBot="1" x14ac:dyDescent="0.35">
      <c r="A20" s="37" t="s">
        <v>150</v>
      </c>
      <c r="B20" s="7" t="s">
        <v>151</v>
      </c>
      <c r="C20" s="3" t="s">
        <v>59</v>
      </c>
      <c r="D20" s="12" t="s">
        <v>35</v>
      </c>
      <c r="E20" s="4" t="s">
        <v>57</v>
      </c>
      <c r="F20" s="33" t="s">
        <v>37</v>
      </c>
      <c r="G20">
        <v>1</v>
      </c>
    </row>
    <row r="21" spans="1:8" ht="18.75" customHeight="1" thickBot="1" x14ac:dyDescent="0.35">
      <c r="A21" s="37" t="s">
        <v>152</v>
      </c>
      <c r="B21" s="7" t="s">
        <v>153</v>
      </c>
      <c r="C21" s="3" t="s">
        <v>45</v>
      </c>
      <c r="D21" s="3" t="s">
        <v>35</v>
      </c>
      <c r="E21" s="4" t="s">
        <v>57</v>
      </c>
      <c r="F21" s="33" t="s">
        <v>37</v>
      </c>
    </row>
    <row r="22" spans="1:8" ht="18.75" customHeight="1" thickBot="1" x14ac:dyDescent="0.35">
      <c r="A22" s="37" t="s">
        <v>154</v>
      </c>
      <c r="B22" s="7" t="s">
        <v>155</v>
      </c>
      <c r="C22" s="3" t="s">
        <v>63</v>
      </c>
      <c r="D22" s="3" t="s">
        <v>35</v>
      </c>
      <c r="E22" s="4" t="s">
        <v>57</v>
      </c>
      <c r="F22" s="33" t="s">
        <v>37</v>
      </c>
    </row>
    <row r="23" spans="1:8" ht="18.75" customHeight="1" thickBot="1" x14ac:dyDescent="0.35">
      <c r="A23" s="37" t="s">
        <v>156</v>
      </c>
      <c r="B23" s="7" t="s">
        <v>157</v>
      </c>
      <c r="C23" s="3" t="s">
        <v>60</v>
      </c>
      <c r="D23" s="3" t="s">
        <v>35</v>
      </c>
      <c r="E23" s="4" t="s">
        <v>57</v>
      </c>
      <c r="F23" s="33" t="s">
        <v>37</v>
      </c>
    </row>
    <row r="24" spans="1:8" ht="19.5" thickBot="1" x14ac:dyDescent="0.35">
      <c r="A24" s="37" t="s">
        <v>158</v>
      </c>
      <c r="B24" s="7" t="s">
        <v>159</v>
      </c>
      <c r="C24" s="3" t="s">
        <v>61</v>
      </c>
      <c r="D24" s="12" t="s">
        <v>35</v>
      </c>
      <c r="E24" s="4" t="s">
        <v>57</v>
      </c>
      <c r="F24" s="33" t="s">
        <v>37</v>
      </c>
    </row>
    <row r="25" spans="1:8" ht="19.5" thickBot="1" x14ac:dyDescent="0.35">
      <c r="A25" s="37" t="s">
        <v>160</v>
      </c>
      <c r="B25" s="7" t="s">
        <v>161</v>
      </c>
      <c r="C25" s="3" t="s">
        <v>62</v>
      </c>
      <c r="D25" s="12" t="s">
        <v>35</v>
      </c>
      <c r="E25" s="4" t="s">
        <v>57</v>
      </c>
      <c r="F25" s="33" t="s">
        <v>37</v>
      </c>
    </row>
    <row r="26" spans="1:8" ht="19.5" thickBot="1" x14ac:dyDescent="0.35">
      <c r="A26" s="37" t="s">
        <v>162</v>
      </c>
      <c r="B26" s="7" t="s">
        <v>163</v>
      </c>
      <c r="C26" s="3" t="s">
        <v>64</v>
      </c>
      <c r="D26" s="12" t="s">
        <v>35</v>
      </c>
      <c r="E26" s="4" t="s">
        <v>57</v>
      </c>
      <c r="F26" s="33" t="s">
        <v>37</v>
      </c>
    </row>
    <row r="27" spans="1:8" ht="19.5" thickBot="1" x14ac:dyDescent="0.35">
      <c r="A27" s="37" t="s">
        <v>164</v>
      </c>
      <c r="B27" s="7" t="s">
        <v>165</v>
      </c>
      <c r="C27" s="3" t="s">
        <v>65</v>
      </c>
      <c r="D27" s="12" t="s">
        <v>35</v>
      </c>
      <c r="E27" s="4" t="s">
        <v>57</v>
      </c>
      <c r="F27" s="33" t="s">
        <v>37</v>
      </c>
    </row>
    <row r="28" spans="1:8" ht="19.5" thickBot="1" x14ac:dyDescent="0.35">
      <c r="A28" s="37" t="s">
        <v>166</v>
      </c>
      <c r="B28" s="7" t="s">
        <v>167</v>
      </c>
      <c r="C28" s="3" t="s">
        <v>66</v>
      </c>
      <c r="D28" s="12" t="s">
        <v>35</v>
      </c>
      <c r="E28" s="4" t="s">
        <v>57</v>
      </c>
      <c r="F28" s="33" t="s">
        <v>37</v>
      </c>
    </row>
    <row r="29" spans="1:8" ht="19.5" thickBot="1" x14ac:dyDescent="0.35">
      <c r="A29" s="37" t="s">
        <v>168</v>
      </c>
      <c r="B29" s="7" t="s">
        <v>169</v>
      </c>
      <c r="C29" s="3" t="s">
        <v>67</v>
      </c>
      <c r="D29" s="12" t="s">
        <v>42</v>
      </c>
      <c r="E29" s="4" t="s">
        <v>68</v>
      </c>
      <c r="F29" s="33" t="s">
        <v>37</v>
      </c>
    </row>
    <row r="30" spans="1:8" ht="19.5" thickBot="1" x14ac:dyDescent="0.35">
      <c r="A30" s="37" t="s">
        <v>170</v>
      </c>
      <c r="B30" s="7" t="s">
        <v>171</v>
      </c>
      <c r="C30" s="3" t="s">
        <v>70</v>
      </c>
      <c r="D30" s="12" t="s">
        <v>42</v>
      </c>
      <c r="E30" s="4" t="s">
        <v>68</v>
      </c>
      <c r="F30" s="33" t="s">
        <v>37</v>
      </c>
    </row>
    <row r="31" spans="1:8" ht="19.5" thickBot="1" x14ac:dyDescent="0.35">
      <c r="A31" s="37" t="s">
        <v>172</v>
      </c>
      <c r="B31" s="7" t="s">
        <v>173</v>
      </c>
      <c r="C31" s="3" t="s">
        <v>71</v>
      </c>
      <c r="D31" s="12" t="s">
        <v>42</v>
      </c>
      <c r="E31" s="4" t="s">
        <v>68</v>
      </c>
      <c r="F31" s="33" t="s">
        <v>37</v>
      </c>
    </row>
    <row r="32" spans="1:8" ht="19.5" thickBot="1" x14ac:dyDescent="0.35">
      <c r="A32" s="37" t="s">
        <v>174</v>
      </c>
      <c r="B32" s="7" t="s">
        <v>175</v>
      </c>
      <c r="C32" s="3" t="s">
        <v>72</v>
      </c>
      <c r="D32" s="12" t="s">
        <v>42</v>
      </c>
      <c r="E32" s="4" t="s">
        <v>68</v>
      </c>
      <c r="F32" s="33" t="s">
        <v>37</v>
      </c>
    </row>
    <row r="33" spans="1:8" ht="19.5" thickBot="1" x14ac:dyDescent="0.35">
      <c r="A33" s="41" t="s">
        <v>176</v>
      </c>
      <c r="B33" s="42" t="s">
        <v>177</v>
      </c>
      <c r="C33" s="11" t="s">
        <v>75</v>
      </c>
      <c r="D33" s="43" t="s">
        <v>42</v>
      </c>
      <c r="E33" s="8" t="s">
        <v>73</v>
      </c>
      <c r="F33" s="33" t="s">
        <v>37</v>
      </c>
    </row>
    <row r="34" spans="1:8" ht="19.5" thickBot="1" x14ac:dyDescent="0.35">
      <c r="A34" s="37" t="s">
        <v>93</v>
      </c>
      <c r="B34" s="7" t="s">
        <v>94</v>
      </c>
      <c r="C34" s="12" t="s">
        <v>106</v>
      </c>
      <c r="D34" s="12" t="s">
        <v>35</v>
      </c>
      <c r="E34" s="4" t="s">
        <v>57</v>
      </c>
      <c r="F34" s="33" t="s">
        <v>37</v>
      </c>
    </row>
    <row r="35" spans="1:8" ht="19.5" thickBot="1" x14ac:dyDescent="0.35">
      <c r="A35" s="37" t="s">
        <v>95</v>
      </c>
      <c r="B35" s="7" t="s">
        <v>98</v>
      </c>
      <c r="C35" s="12" t="s">
        <v>107</v>
      </c>
      <c r="D35" s="12" t="s">
        <v>35</v>
      </c>
      <c r="E35" s="4" t="s">
        <v>57</v>
      </c>
      <c r="F35" s="33" t="s">
        <v>37</v>
      </c>
    </row>
    <row r="36" spans="1:8" ht="19.5" thickBot="1" x14ac:dyDescent="0.35">
      <c r="A36" s="37" t="s">
        <v>96</v>
      </c>
      <c r="B36" s="7" t="s">
        <v>99</v>
      </c>
      <c r="C36" s="12" t="s">
        <v>108</v>
      </c>
      <c r="D36" s="12" t="s">
        <v>35</v>
      </c>
      <c r="E36" s="4" t="s">
        <v>57</v>
      </c>
      <c r="F36" s="33" t="s">
        <v>37</v>
      </c>
      <c r="H36" t="s">
        <v>199</v>
      </c>
    </row>
    <row r="37" spans="1:8" ht="19.5" thickBot="1" x14ac:dyDescent="0.35">
      <c r="A37" s="37" t="s">
        <v>97</v>
      </c>
      <c r="B37" s="7" t="s">
        <v>100</v>
      </c>
      <c r="C37" s="12" t="s">
        <v>109</v>
      </c>
      <c r="D37" s="12" t="s">
        <v>35</v>
      </c>
      <c r="E37" s="4" t="s">
        <v>57</v>
      </c>
      <c r="F37" s="33" t="s">
        <v>37</v>
      </c>
    </row>
    <row r="38" spans="1:8" ht="19.5" thickBot="1" x14ac:dyDescent="0.35">
      <c r="A38" s="37" t="s">
        <v>101</v>
      </c>
      <c r="B38" s="7" t="s">
        <v>102</v>
      </c>
      <c r="C38" s="12" t="s">
        <v>110</v>
      </c>
      <c r="D38" s="12" t="s">
        <v>35</v>
      </c>
      <c r="E38" s="4" t="s">
        <v>57</v>
      </c>
      <c r="F38" s="33" t="s">
        <v>37</v>
      </c>
    </row>
    <row r="39" spans="1:8" ht="19.5" thickBot="1" x14ac:dyDescent="0.35">
      <c r="A39" s="37" t="s">
        <v>104</v>
      </c>
      <c r="B39" s="7" t="s">
        <v>103</v>
      </c>
      <c r="C39" s="12" t="s">
        <v>111</v>
      </c>
      <c r="D39" s="12" t="s">
        <v>35</v>
      </c>
      <c r="E39" s="4" t="s">
        <v>57</v>
      </c>
      <c r="F39" s="33" t="s">
        <v>37</v>
      </c>
    </row>
    <row r="40" spans="1:8" ht="19.5" thickBot="1" x14ac:dyDescent="0.35">
      <c r="A40" s="37" t="s">
        <v>113</v>
      </c>
      <c r="B40" s="7" t="s">
        <v>112</v>
      </c>
      <c r="C40" s="12" t="s">
        <v>116</v>
      </c>
      <c r="D40" s="12" t="s">
        <v>35</v>
      </c>
      <c r="E40" s="4" t="s">
        <v>57</v>
      </c>
      <c r="F40" s="33" t="s">
        <v>37</v>
      </c>
    </row>
    <row r="41" spans="1:8" ht="19.5" thickBot="1" x14ac:dyDescent="0.35">
      <c r="A41" s="37" t="s">
        <v>115</v>
      </c>
      <c r="B41" s="7" t="s">
        <v>114</v>
      </c>
      <c r="C41" s="12" t="s">
        <v>122</v>
      </c>
      <c r="D41" s="12" t="s">
        <v>35</v>
      </c>
      <c r="E41" s="4" t="s">
        <v>117</v>
      </c>
      <c r="F41" s="33" t="s">
        <v>37</v>
      </c>
    </row>
    <row r="42" spans="1:8" ht="19.5" thickBot="1" x14ac:dyDescent="0.35">
      <c r="A42" s="37" t="s">
        <v>119</v>
      </c>
      <c r="B42" s="7" t="s">
        <v>118</v>
      </c>
      <c r="C42" s="12" t="s">
        <v>123</v>
      </c>
      <c r="D42" s="12" t="s">
        <v>35</v>
      </c>
      <c r="E42" s="4" t="s">
        <v>117</v>
      </c>
      <c r="F42" s="33" t="s">
        <v>37</v>
      </c>
    </row>
    <row r="43" spans="1:8" ht="19.5" thickBot="1" x14ac:dyDescent="0.35">
      <c r="A43" s="37" t="s">
        <v>121</v>
      </c>
      <c r="B43" s="7" t="s">
        <v>120</v>
      </c>
      <c r="C43" s="12" t="s">
        <v>124</v>
      </c>
      <c r="D43" s="12" t="s">
        <v>35</v>
      </c>
      <c r="E43" s="4" t="s">
        <v>117</v>
      </c>
      <c r="F43" s="33" t="s">
        <v>37</v>
      </c>
    </row>
    <row r="44" spans="1:8" ht="19.5" thickBot="1" x14ac:dyDescent="0.35">
      <c r="A44" s="37" t="s">
        <v>127</v>
      </c>
      <c r="B44" s="7" t="s">
        <v>126</v>
      </c>
      <c r="C44" s="12" t="s">
        <v>128</v>
      </c>
      <c r="D44" s="12" t="s">
        <v>35</v>
      </c>
      <c r="E44" s="4" t="s">
        <v>117</v>
      </c>
      <c r="F44" s="33" t="s">
        <v>37</v>
      </c>
    </row>
    <row r="45" spans="1:8" ht="19.5" thickBot="1" x14ac:dyDescent="0.35">
      <c r="A45" s="37" t="s">
        <v>130</v>
      </c>
      <c r="B45" s="7" t="s">
        <v>129</v>
      </c>
      <c r="C45" s="12" t="s">
        <v>131</v>
      </c>
      <c r="D45" s="12" t="s">
        <v>35</v>
      </c>
      <c r="E45" s="4" t="s">
        <v>117</v>
      </c>
      <c r="F45" s="33" t="s">
        <v>37</v>
      </c>
    </row>
    <row r="46" spans="1:8" ht="19.5" thickBot="1" x14ac:dyDescent="0.35">
      <c r="A46" s="41" t="s">
        <v>133</v>
      </c>
      <c r="B46" s="42" t="s">
        <v>132</v>
      </c>
      <c r="C46" s="43" t="s">
        <v>134</v>
      </c>
      <c r="D46" s="43" t="s">
        <v>51</v>
      </c>
      <c r="E46" s="8" t="s">
        <v>135</v>
      </c>
      <c r="F46" s="33" t="s">
        <v>37</v>
      </c>
    </row>
    <row r="47" spans="1:8" ht="19.5" thickBot="1" x14ac:dyDescent="0.35">
      <c r="A47" s="37" t="s">
        <v>137</v>
      </c>
      <c r="B47" s="7" t="s">
        <v>136</v>
      </c>
      <c r="C47" s="12" t="s">
        <v>141</v>
      </c>
      <c r="D47" s="12" t="s">
        <v>35</v>
      </c>
      <c r="E47" s="7" t="s">
        <v>57</v>
      </c>
      <c r="F47" s="33" t="s">
        <v>37</v>
      </c>
    </row>
    <row r="48" spans="1:8" ht="19.5" thickBot="1" x14ac:dyDescent="0.35">
      <c r="A48" s="37" t="s">
        <v>139</v>
      </c>
      <c r="B48" s="7" t="s">
        <v>138</v>
      </c>
      <c r="C48" s="12" t="s">
        <v>140</v>
      </c>
      <c r="D48" s="12" t="s">
        <v>35</v>
      </c>
      <c r="E48" s="7" t="s">
        <v>57</v>
      </c>
      <c r="F48" s="33" t="s">
        <v>37</v>
      </c>
    </row>
    <row r="49" spans="1:6" ht="19.5" thickBot="1" x14ac:dyDescent="0.35">
      <c r="A49" s="41" t="s">
        <v>143</v>
      </c>
      <c r="B49" s="42" t="s">
        <v>142</v>
      </c>
      <c r="C49" s="43" t="s">
        <v>144</v>
      </c>
      <c r="D49" s="43" t="s">
        <v>35</v>
      </c>
      <c r="E49" s="42" t="s">
        <v>57</v>
      </c>
      <c r="F49" s="33" t="s">
        <v>37</v>
      </c>
    </row>
    <row r="50" spans="1:6" ht="19.5" thickBot="1" x14ac:dyDescent="0.35">
      <c r="A50" s="37" t="s">
        <v>181</v>
      </c>
      <c r="B50" s="7" t="s">
        <v>182</v>
      </c>
      <c r="C50" s="12" t="s">
        <v>200</v>
      </c>
      <c r="D50" s="43" t="s">
        <v>35</v>
      </c>
      <c r="E50" s="7" t="s">
        <v>57</v>
      </c>
      <c r="F50" s="33" t="s">
        <v>37</v>
      </c>
    </row>
    <row r="51" spans="1:6" ht="19.5" thickBot="1" x14ac:dyDescent="0.35">
      <c r="A51" s="37" t="s">
        <v>183</v>
      </c>
      <c r="B51" s="7" t="s">
        <v>184</v>
      </c>
      <c r="C51" s="12" t="s">
        <v>201</v>
      </c>
      <c r="D51" s="12" t="s">
        <v>35</v>
      </c>
      <c r="E51" s="7" t="s">
        <v>57</v>
      </c>
      <c r="F51" s="33" t="s">
        <v>37</v>
      </c>
    </row>
    <row r="52" spans="1:6" ht="19.5" thickBot="1" x14ac:dyDescent="0.35">
      <c r="A52" s="37" t="s">
        <v>185</v>
      </c>
      <c r="B52" s="7" t="s">
        <v>186</v>
      </c>
      <c r="C52" s="12" t="s">
        <v>202</v>
      </c>
      <c r="D52" s="12" t="s">
        <v>35</v>
      </c>
      <c r="E52" s="7" t="s">
        <v>57</v>
      </c>
      <c r="F52" s="33" t="s">
        <v>37</v>
      </c>
    </row>
    <row r="53" spans="1:6" ht="19.5" thickBot="1" x14ac:dyDescent="0.35">
      <c r="A53" s="37" t="s">
        <v>187</v>
      </c>
      <c r="B53" s="7" t="s">
        <v>188</v>
      </c>
      <c r="C53" s="12" t="s">
        <v>203</v>
      </c>
      <c r="D53" s="12" t="s">
        <v>35</v>
      </c>
      <c r="E53" s="7" t="s">
        <v>57</v>
      </c>
      <c r="F53" s="33" t="s">
        <v>37</v>
      </c>
    </row>
    <row r="54" spans="1:6" ht="19.5" thickBot="1" x14ac:dyDescent="0.35">
      <c r="A54" s="37" t="s">
        <v>189</v>
      </c>
      <c r="B54" s="7" t="s">
        <v>190</v>
      </c>
      <c r="C54" s="12" t="s">
        <v>204</v>
      </c>
      <c r="D54" s="12" t="s">
        <v>35</v>
      </c>
      <c r="E54" s="7" t="s">
        <v>57</v>
      </c>
      <c r="F54" s="33" t="s">
        <v>37</v>
      </c>
    </row>
    <row r="55" spans="1:6" ht="19.5" thickBot="1" x14ac:dyDescent="0.35">
      <c r="A55" s="37" t="s">
        <v>191</v>
      </c>
      <c r="B55" s="7" t="s">
        <v>192</v>
      </c>
      <c r="C55" s="12" t="s">
        <v>205</v>
      </c>
      <c r="D55" s="12" t="s">
        <v>35</v>
      </c>
      <c r="E55" s="7" t="s">
        <v>57</v>
      </c>
      <c r="F55" s="33" t="s">
        <v>37</v>
      </c>
    </row>
    <row r="56" spans="1:6" ht="19.5" thickBot="1" x14ac:dyDescent="0.35">
      <c r="A56" s="37" t="s">
        <v>193</v>
      </c>
      <c r="B56" s="7" t="s">
        <v>194</v>
      </c>
      <c r="C56" s="12" t="s">
        <v>206</v>
      </c>
      <c r="D56" s="12" t="s">
        <v>35</v>
      </c>
      <c r="E56" s="7" t="s">
        <v>57</v>
      </c>
      <c r="F56" s="33" t="s">
        <v>37</v>
      </c>
    </row>
    <row r="57" spans="1:6" ht="19.5" thickBot="1" x14ac:dyDescent="0.35">
      <c r="A57" s="37" t="s">
        <v>195</v>
      </c>
      <c r="B57" s="7" t="s">
        <v>196</v>
      </c>
      <c r="C57" s="12" t="s">
        <v>207</v>
      </c>
      <c r="D57" s="12" t="s">
        <v>35</v>
      </c>
      <c r="E57" s="7" t="s">
        <v>57</v>
      </c>
      <c r="F57" s="33" t="s">
        <v>37</v>
      </c>
    </row>
    <row r="58" spans="1:6" ht="19.5" thickBot="1" x14ac:dyDescent="0.35">
      <c r="A58" s="37" t="s">
        <v>197</v>
      </c>
      <c r="B58" s="7" t="s">
        <v>198</v>
      </c>
      <c r="C58" s="12" t="s">
        <v>208</v>
      </c>
      <c r="D58" s="12" t="s">
        <v>35</v>
      </c>
      <c r="E58" s="7" t="s">
        <v>57</v>
      </c>
      <c r="F58" s="33" t="s">
        <v>37</v>
      </c>
    </row>
    <row r="59" spans="1:6" ht="19.5" thickBot="1" x14ac:dyDescent="0.35">
      <c r="A59" s="37" t="s">
        <v>209</v>
      </c>
      <c r="B59" s="7" t="s">
        <v>210</v>
      </c>
      <c r="C59" s="12" t="s">
        <v>213</v>
      </c>
      <c r="D59" s="12" t="s">
        <v>35</v>
      </c>
      <c r="E59" s="7" t="s">
        <v>57</v>
      </c>
      <c r="F59" s="33" t="s">
        <v>37</v>
      </c>
    </row>
    <row r="60" spans="1:6" ht="19.5" thickBot="1" x14ac:dyDescent="0.35">
      <c r="A60" s="37" t="s">
        <v>211</v>
      </c>
      <c r="B60" s="7" t="s">
        <v>212</v>
      </c>
      <c r="C60" s="12" t="s">
        <v>214</v>
      </c>
      <c r="D60" s="12" t="s">
        <v>35</v>
      </c>
      <c r="E60" s="7" t="s">
        <v>57</v>
      </c>
      <c r="F60" s="33" t="s">
        <v>37</v>
      </c>
    </row>
    <row r="61" spans="1:6" ht="19.5" thickBot="1" x14ac:dyDescent="0.35">
      <c r="A61" s="37" t="s">
        <v>215</v>
      </c>
      <c r="B61" s="7" t="s">
        <v>216</v>
      </c>
      <c r="C61" s="12" t="s">
        <v>217</v>
      </c>
      <c r="D61" s="12" t="s">
        <v>35</v>
      </c>
      <c r="E61" s="7" t="s">
        <v>57</v>
      </c>
      <c r="F61" s="33" t="s">
        <v>37</v>
      </c>
    </row>
    <row r="62" spans="1:6" ht="19.5" thickBot="1" x14ac:dyDescent="0.35">
      <c r="A62" s="37" t="s">
        <v>220</v>
      </c>
      <c r="B62" s="7" t="s">
        <v>221</v>
      </c>
      <c r="C62" s="12" t="s">
        <v>218</v>
      </c>
      <c r="D62" s="12" t="s">
        <v>51</v>
      </c>
      <c r="E62" s="7" t="s">
        <v>219</v>
      </c>
      <c r="F62" s="33" t="s">
        <v>37</v>
      </c>
    </row>
    <row r="63" spans="1:6" ht="19.5" thickBot="1" x14ac:dyDescent="0.35">
      <c r="A63" s="37" t="s">
        <v>223</v>
      </c>
      <c r="B63" s="7" t="s">
        <v>224</v>
      </c>
      <c r="C63" s="12" t="s">
        <v>256</v>
      </c>
      <c r="D63" s="12" t="s">
        <v>257</v>
      </c>
      <c r="E63" s="7" t="s">
        <v>258</v>
      </c>
      <c r="F63" s="33"/>
    </row>
    <row r="64" spans="1:6" ht="19.5" thickBot="1" x14ac:dyDescent="0.35">
      <c r="A64" s="37" t="s">
        <v>226</v>
      </c>
      <c r="B64" s="7" t="s">
        <v>227</v>
      </c>
      <c r="C64" s="12" t="s">
        <v>259</v>
      </c>
      <c r="D64" s="12" t="s">
        <v>257</v>
      </c>
      <c r="E64" s="7" t="s">
        <v>260</v>
      </c>
      <c r="F64" s="33"/>
    </row>
    <row r="65" spans="1:6" ht="19.5" thickBot="1" x14ac:dyDescent="0.35">
      <c r="A65" s="37" t="s">
        <v>228</v>
      </c>
      <c r="B65" s="7" t="s">
        <v>229</v>
      </c>
      <c r="C65" s="12" t="s">
        <v>261</v>
      </c>
      <c r="D65" s="12" t="s">
        <v>263</v>
      </c>
      <c r="E65" s="7"/>
      <c r="F65" s="33"/>
    </row>
    <row r="66" spans="1:6" ht="19.5" thickBot="1" x14ac:dyDescent="0.35">
      <c r="A66" s="37" t="s">
        <v>230</v>
      </c>
      <c r="B66" s="7" t="s">
        <v>231</v>
      </c>
      <c r="C66" s="12" t="s">
        <v>262</v>
      </c>
      <c r="D66" s="12" t="s">
        <v>257</v>
      </c>
      <c r="E66" s="7"/>
      <c r="F66" s="33"/>
    </row>
    <row r="67" spans="1:6" ht="19.5" thickBot="1" x14ac:dyDescent="0.35">
      <c r="A67" s="37" t="s">
        <v>232</v>
      </c>
      <c r="B67" s="7" t="s">
        <v>233</v>
      </c>
      <c r="C67" s="12" t="s">
        <v>264</v>
      </c>
      <c r="D67" s="12" t="s">
        <v>266</v>
      </c>
      <c r="E67" s="7"/>
      <c r="F67" s="33"/>
    </row>
    <row r="68" spans="1:6" ht="19.5" thickBot="1" x14ac:dyDescent="0.35">
      <c r="A68" s="37" t="s">
        <v>234</v>
      </c>
      <c r="B68" s="7" t="s">
        <v>235</v>
      </c>
      <c r="C68" s="12" t="s">
        <v>265</v>
      </c>
      <c r="D68" s="12" t="s">
        <v>266</v>
      </c>
      <c r="E68" s="7"/>
      <c r="F68" s="33"/>
    </row>
    <row r="69" spans="1:6" ht="19.5" thickBot="1" x14ac:dyDescent="0.35">
      <c r="A69" s="37" t="s">
        <v>236</v>
      </c>
      <c r="B69" s="7" t="s">
        <v>237</v>
      </c>
      <c r="C69" s="12" t="s">
        <v>267</v>
      </c>
      <c r="D69" s="12" t="s">
        <v>266</v>
      </c>
      <c r="E69" s="7"/>
      <c r="F69" s="33"/>
    </row>
    <row r="70" spans="1:6" ht="19.5" thickBot="1" x14ac:dyDescent="0.35">
      <c r="A70" s="37" t="s">
        <v>238</v>
      </c>
      <c r="B70" s="7" t="s">
        <v>239</v>
      </c>
      <c r="C70" s="12" t="s">
        <v>268</v>
      </c>
      <c r="D70" s="12" t="s">
        <v>266</v>
      </c>
      <c r="E70" s="7"/>
      <c r="F70" s="33"/>
    </row>
    <row r="71" spans="1:6" ht="19.5" thickBot="1" x14ac:dyDescent="0.35">
      <c r="A71" s="37" t="s">
        <v>240</v>
      </c>
      <c r="B71" s="7" t="s">
        <v>241</v>
      </c>
      <c r="C71" s="12" t="s">
        <v>269</v>
      </c>
      <c r="D71" s="12" t="s">
        <v>266</v>
      </c>
      <c r="E71" s="7"/>
      <c r="F71" s="33"/>
    </row>
    <row r="72" spans="1:6" ht="19.5" thickBot="1" x14ac:dyDescent="0.35">
      <c r="A72" s="37" t="s">
        <v>242</v>
      </c>
      <c r="B72" s="7" t="s">
        <v>243</v>
      </c>
      <c r="C72" s="12" t="s">
        <v>270</v>
      </c>
      <c r="D72" s="12" t="s">
        <v>266</v>
      </c>
      <c r="E72" s="7"/>
      <c r="F72" s="33"/>
    </row>
    <row r="73" spans="1:6" ht="19.5" thickBot="1" x14ac:dyDescent="0.35">
      <c r="A73" s="37" t="s">
        <v>244</v>
      </c>
      <c r="B73" s="7" t="s">
        <v>245</v>
      </c>
      <c r="C73" s="12" t="s">
        <v>271</v>
      </c>
      <c r="D73" s="12" t="s">
        <v>266</v>
      </c>
      <c r="E73" s="7"/>
      <c r="F73" s="33"/>
    </row>
    <row r="74" spans="1:6" ht="19.5" thickBot="1" x14ac:dyDescent="0.35">
      <c r="A74" s="37" t="s">
        <v>246</v>
      </c>
      <c r="B74" s="7" t="s">
        <v>247</v>
      </c>
      <c r="C74" s="12" t="s">
        <v>272</v>
      </c>
      <c r="D74" s="12" t="s">
        <v>266</v>
      </c>
      <c r="E74" s="7"/>
      <c r="F74" s="33"/>
    </row>
    <row r="75" spans="1:6" ht="19.5" thickBot="1" x14ac:dyDescent="0.35">
      <c r="A75" s="37" t="s">
        <v>248</v>
      </c>
      <c r="B75" s="7" t="s">
        <v>249</v>
      </c>
      <c r="C75" s="12" t="s">
        <v>273</v>
      </c>
      <c r="D75" s="12" t="s">
        <v>266</v>
      </c>
      <c r="E75" s="7"/>
      <c r="F75" s="33"/>
    </row>
    <row r="76" spans="1:6" ht="19.5" thickBot="1" x14ac:dyDescent="0.35">
      <c r="A76" s="37" t="s">
        <v>250</v>
      </c>
      <c r="B76" s="7" t="s">
        <v>251</v>
      </c>
      <c r="C76" s="12" t="s">
        <v>274</v>
      </c>
      <c r="D76" s="12" t="s">
        <v>266</v>
      </c>
      <c r="E76" s="7"/>
      <c r="F76" s="33"/>
    </row>
    <row r="77" spans="1:6" ht="19.5" thickBot="1" x14ac:dyDescent="0.35">
      <c r="A77" s="37" t="s">
        <v>252</v>
      </c>
      <c r="B77" s="7" t="s">
        <v>253</v>
      </c>
      <c r="C77" s="12" t="s">
        <v>275</v>
      </c>
      <c r="D77" s="12" t="s">
        <v>266</v>
      </c>
      <c r="E77" s="7"/>
      <c r="F77" s="33"/>
    </row>
    <row r="78" spans="1:6" ht="19.5" thickBot="1" x14ac:dyDescent="0.35">
      <c r="A78" s="37" t="s">
        <v>254</v>
      </c>
      <c r="B78" s="7" t="s">
        <v>255</v>
      </c>
      <c r="C78" s="12" t="s">
        <v>276</v>
      </c>
      <c r="D78" s="12" t="s">
        <v>266</v>
      </c>
      <c r="E78" s="7"/>
      <c r="F78" s="33"/>
    </row>
    <row r="79" spans="1:6" ht="19.5" thickBot="1" x14ac:dyDescent="0.35">
      <c r="A79" s="37" t="s">
        <v>277</v>
      </c>
      <c r="B79" s="7" t="s">
        <v>278</v>
      </c>
      <c r="C79" s="12" t="s">
        <v>279</v>
      </c>
      <c r="D79" s="12" t="s">
        <v>266</v>
      </c>
      <c r="E79" s="7"/>
      <c r="F79" s="33"/>
    </row>
    <row r="80" spans="1:6" ht="19.5" thickBot="1" x14ac:dyDescent="0.35">
      <c r="A80" s="37" t="s">
        <v>284</v>
      </c>
      <c r="B80" s="7" t="s">
        <v>285</v>
      </c>
      <c r="C80" s="12" t="s">
        <v>300</v>
      </c>
      <c r="D80" s="12" t="s">
        <v>266</v>
      </c>
      <c r="E80" s="7"/>
      <c r="F80" s="33"/>
    </row>
    <row r="81" spans="1:6" ht="19.5" thickBot="1" x14ac:dyDescent="0.35">
      <c r="A81" s="37" t="s">
        <v>288</v>
      </c>
      <c r="B81" s="7" t="s">
        <v>289</v>
      </c>
      <c r="C81" s="12" t="s">
        <v>301</v>
      </c>
      <c r="D81" s="12" t="s">
        <v>266</v>
      </c>
      <c r="E81" s="7"/>
      <c r="F81" s="33"/>
    </row>
    <row r="82" spans="1:6" ht="19.5" thickBot="1" x14ac:dyDescent="0.35">
      <c r="A82" s="37" t="s">
        <v>290</v>
      </c>
      <c r="B82" s="7" t="s">
        <v>291</v>
      </c>
      <c r="C82" s="12" t="s">
        <v>302</v>
      </c>
      <c r="D82" s="12" t="s">
        <v>266</v>
      </c>
      <c r="E82" s="7"/>
      <c r="F82" s="33"/>
    </row>
    <row r="83" spans="1:6" ht="19.5" thickBot="1" x14ac:dyDescent="0.35">
      <c r="A83" s="37" t="s">
        <v>292</v>
      </c>
      <c r="B83" s="7" t="s">
        <v>293</v>
      </c>
      <c r="C83" s="12" t="s">
        <v>303</v>
      </c>
      <c r="D83" s="12" t="s">
        <v>266</v>
      </c>
      <c r="E83" s="7"/>
      <c r="F83" s="33"/>
    </row>
    <row r="84" spans="1:6" ht="19.5" thickBot="1" x14ac:dyDescent="0.35">
      <c r="A84" s="37" t="s">
        <v>294</v>
      </c>
      <c r="B84" s="7" t="s">
        <v>295</v>
      </c>
      <c r="C84" s="12" t="s">
        <v>304</v>
      </c>
      <c r="D84" s="12" t="s">
        <v>266</v>
      </c>
      <c r="E84" s="7"/>
      <c r="F84" s="33"/>
    </row>
    <row r="85" spans="1:6" ht="19.5" thickBot="1" x14ac:dyDescent="0.35">
      <c r="A85" s="37" t="s">
        <v>296</v>
      </c>
      <c r="B85" s="7" t="s">
        <v>297</v>
      </c>
      <c r="C85" s="12" t="s">
        <v>305</v>
      </c>
      <c r="D85" s="12" t="s">
        <v>266</v>
      </c>
      <c r="E85" s="7"/>
      <c r="F85" s="33"/>
    </row>
    <row r="86" spans="1:6" ht="19.5" thickBot="1" x14ac:dyDescent="0.35">
      <c r="A86" s="37" t="s">
        <v>307</v>
      </c>
      <c r="B86" s="7" t="s">
        <v>308</v>
      </c>
      <c r="C86" s="12"/>
      <c r="D86" s="12"/>
      <c r="E86" s="7"/>
      <c r="F86" s="33"/>
    </row>
    <row r="87" spans="1:6" ht="19.5" thickBot="1" x14ac:dyDescent="0.35">
      <c r="A87" s="37" t="s">
        <v>309</v>
      </c>
      <c r="B87" s="7" t="s">
        <v>310</v>
      </c>
      <c r="C87" s="12"/>
      <c r="D87" s="12"/>
      <c r="E87" s="7"/>
      <c r="F87" s="33"/>
    </row>
    <row r="88" spans="1:6" ht="19.5" thickBot="1" x14ac:dyDescent="0.35">
      <c r="A88" s="37" t="s">
        <v>311</v>
      </c>
      <c r="B88" s="7" t="s">
        <v>312</v>
      </c>
      <c r="C88" s="12"/>
      <c r="D88" s="12"/>
      <c r="E88" s="7"/>
      <c r="F88" s="33"/>
    </row>
    <row r="89" spans="1:6" ht="19.5" thickBot="1" x14ac:dyDescent="0.35">
      <c r="A89" s="37" t="s">
        <v>313</v>
      </c>
      <c r="B89" s="7" t="s">
        <v>314</v>
      </c>
      <c r="C89" s="12"/>
      <c r="D89" s="12"/>
      <c r="E89" s="7"/>
      <c r="F89" s="33"/>
    </row>
    <row r="90" spans="1:6" ht="19.5" thickBot="1" x14ac:dyDescent="0.35">
      <c r="A90" s="37" t="s">
        <v>315</v>
      </c>
      <c r="B90" s="7" t="s">
        <v>316</v>
      </c>
      <c r="C90" s="12"/>
      <c r="D90" s="12"/>
      <c r="E90" s="7"/>
      <c r="F90" s="33"/>
    </row>
    <row r="91" spans="1:6" ht="19.5" thickBot="1" x14ac:dyDescent="0.35">
      <c r="A91" s="37" t="s">
        <v>317</v>
      </c>
      <c r="B91" s="7" t="s">
        <v>318</v>
      </c>
      <c r="C91" s="12"/>
      <c r="D91" s="12"/>
      <c r="E91" s="7"/>
      <c r="F91" s="33"/>
    </row>
    <row r="92" spans="1:6" ht="19.5" thickBot="1" x14ac:dyDescent="0.35">
      <c r="A92" s="37"/>
      <c r="B92" s="7"/>
      <c r="C92" s="12"/>
      <c r="D92" s="12"/>
      <c r="E92" s="7"/>
      <c r="F92" s="33"/>
    </row>
    <row r="93" spans="1:6" ht="19.5" thickBot="1" x14ac:dyDescent="0.35">
      <c r="A93" s="37"/>
      <c r="B93" s="7"/>
      <c r="C93" s="12"/>
      <c r="D93" s="12"/>
      <c r="E93" s="7"/>
      <c r="F93" s="33"/>
    </row>
    <row r="94" spans="1:6" ht="19.5" thickBot="1" x14ac:dyDescent="0.35">
      <c r="A94" s="37"/>
      <c r="B94" s="7"/>
      <c r="C94" s="12"/>
      <c r="D94" s="12"/>
      <c r="E94" s="7"/>
      <c r="F94" s="33"/>
    </row>
    <row r="95" spans="1:6" ht="19.5" thickBot="1" x14ac:dyDescent="0.35">
      <c r="A95" s="37"/>
      <c r="B95" s="7"/>
      <c r="C95" s="12"/>
      <c r="D95" s="12"/>
      <c r="E95" s="7"/>
      <c r="F95" s="33"/>
    </row>
    <row r="96" spans="1:6" ht="19.5" thickBot="1" x14ac:dyDescent="0.35">
      <c r="A96" s="37"/>
      <c r="B96" s="7"/>
      <c r="C96" s="12"/>
      <c r="D96" s="12"/>
      <c r="E96" s="7"/>
      <c r="F96" s="33"/>
    </row>
  </sheetData>
  <sheetProtection algorithmName="SHA-512" hashValue="QoCF/Vrz08sLIJCK62WV/yfDDxEDDS2p7ja/XY4T5pllZYUEn+Rlm8Oz+hoGvT6hAGwwWklTPNcRaspXqu8Pgg==" saltValue="CfMwDZAP/O8brvz6NFR8lw==" spinCount="100000" sheet="1" objects="1" scenarios="1"/>
  <phoneticPr fontId="2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BA344-75A8-4339-8812-D24776ED0AF0}">
  <sheetPr codeName="Foglio26"/>
  <dimension ref="A1:J29"/>
  <sheetViews>
    <sheetView workbookViewId="0">
      <selection activeCell="H25" sqref="H25"/>
    </sheetView>
  </sheetViews>
  <sheetFormatPr defaultRowHeight="15" x14ac:dyDescent="0.25"/>
  <cols>
    <col min="1" max="1" width="15.140625" bestFit="1" customWidth="1"/>
    <col min="2" max="2" width="10.85546875" bestFit="1" customWidth="1"/>
    <col min="3" max="3" width="20.7109375" bestFit="1" customWidth="1"/>
    <col min="4" max="4" width="20.140625" bestFit="1" customWidth="1"/>
    <col min="5" max="5" width="11.42578125" bestFit="1" customWidth="1"/>
    <col min="7" max="7" width="11.42578125" bestFit="1" customWidth="1"/>
    <col min="8" max="8" width="15.85546875" customWidth="1"/>
    <col min="9" max="9" width="37.7109375" customWidth="1"/>
  </cols>
  <sheetData>
    <row r="1" spans="1:10" x14ac:dyDescent="0.25">
      <c r="A1">
        <v>0</v>
      </c>
      <c r="B1" t="s">
        <v>6</v>
      </c>
      <c r="C1" t="s">
        <v>78</v>
      </c>
      <c r="D1" t="s">
        <v>76</v>
      </c>
      <c r="E1" s="53" t="s">
        <v>31</v>
      </c>
      <c r="F1" s="53"/>
      <c r="G1" s="53" t="s">
        <v>33</v>
      </c>
      <c r="H1" s="53"/>
    </row>
    <row r="2" spans="1:10" x14ac:dyDescent="0.25">
      <c r="A2" s="1"/>
      <c r="B2" s="1"/>
      <c r="C2" s="1"/>
      <c r="D2" s="1"/>
      <c r="E2" s="52"/>
      <c r="F2" s="52"/>
      <c r="G2" s="52"/>
      <c r="H2" s="52"/>
      <c r="I2" s="1" t="s">
        <v>79</v>
      </c>
      <c r="J2" s="1"/>
    </row>
    <row r="3" spans="1:10" x14ac:dyDescent="0.25">
      <c r="A3" s="1"/>
      <c r="B3" s="1"/>
      <c r="C3" s="1"/>
      <c r="D3" s="1"/>
      <c r="E3" s="1"/>
      <c r="F3" s="1"/>
      <c r="G3" s="1"/>
      <c r="H3" s="1"/>
      <c r="I3" s="1" t="s">
        <v>77</v>
      </c>
      <c r="J3" s="1"/>
    </row>
    <row r="4" spans="1:10" x14ac:dyDescent="0.25">
      <c r="A4" s="1"/>
      <c r="B4" s="1"/>
      <c r="C4" s="1"/>
      <c r="D4" s="1"/>
      <c r="E4" s="1"/>
      <c r="F4" s="1"/>
      <c r="G4" s="1"/>
      <c r="H4" s="1"/>
      <c r="I4" s="1" t="s">
        <v>80</v>
      </c>
      <c r="J4" s="1"/>
    </row>
    <row r="5" spans="1:10" x14ac:dyDescent="0.25">
      <c r="A5" s="1"/>
      <c r="B5" s="1"/>
      <c r="C5" s="1"/>
      <c r="D5" s="1"/>
      <c r="E5" s="1"/>
      <c r="F5" s="1"/>
      <c r="G5" s="1"/>
      <c r="H5" s="1"/>
      <c r="I5" s="1" t="s">
        <v>81</v>
      </c>
      <c r="J5" s="1"/>
    </row>
    <row r="6" spans="1:10" x14ac:dyDescent="0.25">
      <c r="A6" s="1"/>
      <c r="B6" s="1"/>
      <c r="C6" s="1"/>
      <c r="D6" s="1"/>
      <c r="E6" s="1"/>
      <c r="F6" s="1"/>
      <c r="G6" s="1"/>
      <c r="H6" s="1"/>
      <c r="I6" s="1" t="s">
        <v>82</v>
      </c>
      <c r="J6" s="1"/>
    </row>
    <row r="7" spans="1:10" x14ac:dyDescent="0.25">
      <c r="A7" s="1"/>
      <c r="B7" s="1"/>
      <c r="C7" s="1"/>
      <c r="D7" s="1"/>
      <c r="E7" s="1"/>
      <c r="F7" s="1"/>
      <c r="G7" s="1"/>
      <c r="H7" s="1"/>
      <c r="I7" s="1" t="s">
        <v>83</v>
      </c>
      <c r="J7" s="1"/>
    </row>
    <row r="8" spans="1:10" x14ac:dyDescent="0.25">
      <c r="A8" s="1"/>
      <c r="B8" s="1"/>
      <c r="C8" s="1"/>
      <c r="D8" s="1"/>
      <c r="E8" s="1"/>
      <c r="F8" s="1"/>
      <c r="G8" s="1"/>
      <c r="H8" s="1"/>
      <c r="I8" s="1"/>
      <c r="J8" s="1"/>
    </row>
    <row r="9" spans="1:10" x14ac:dyDescent="0.2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x14ac:dyDescent="0.25">
      <c r="I23" s="1"/>
    </row>
    <row r="24" spans="1:10" x14ac:dyDescent="0.25">
      <c r="I24" s="1"/>
    </row>
    <row r="25" spans="1:10" x14ac:dyDescent="0.25">
      <c r="I25" s="1"/>
    </row>
    <row r="26" spans="1:10" x14ac:dyDescent="0.25">
      <c r="I26" s="1"/>
    </row>
    <row r="27" spans="1:10" x14ac:dyDescent="0.25">
      <c r="I27" s="1"/>
    </row>
    <row r="28" spans="1:10" x14ac:dyDescent="0.25">
      <c r="I28" s="1"/>
    </row>
    <row r="29" spans="1:10" x14ac:dyDescent="0.25">
      <c r="I29" s="1"/>
    </row>
  </sheetData>
  <mergeCells count="4">
    <mergeCell ref="G2:H2"/>
    <mergeCell ref="G1:H1"/>
    <mergeCell ref="E1:F1"/>
    <mergeCell ref="E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SCANSIONE</vt:lpstr>
      <vt:lpstr>DB_Codici</vt:lpstr>
      <vt:lpstr>DISTINTA OPERATORE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Ivan-PC</dc:creator>
  <cp:lastModifiedBy>Ivan Venezia</cp:lastModifiedBy>
  <cp:lastPrinted>2025-05-03T14:58:52Z</cp:lastPrinted>
  <dcterms:created xsi:type="dcterms:W3CDTF">2025-04-28T10:03:36Z</dcterms:created>
  <dcterms:modified xsi:type="dcterms:W3CDTF">2025-05-20T06:39:37Z</dcterms:modified>
</cp:coreProperties>
</file>